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 activeTab="2"/>
  </bookViews>
  <sheets>
    <sheet name="Data" sheetId="1" r:id="rId1"/>
    <sheet name="pivot_table" sheetId="2" r:id="rId2"/>
    <sheet name="Dashboard" sheetId="3" r:id="rId3"/>
  </sheets>
  <definedNames>
    <definedName name="_xlnm._FilterDatabase" localSheetId="0" hidden="1">Data!$A$1:$P$1011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Sample data generated for the Kia Motors case study (completed orders only, Jan 2025 - 24 Oct 2026). Replace the rows with real data; keep the same columns. Charts read up to row 5000.</t>
        </r>
      </text>
    </comment>
  </commentList>
</comments>
</file>

<file path=xl/sharedStrings.xml><?xml version="1.0" encoding="utf-8"?>
<sst xmlns="http://schemas.openxmlformats.org/spreadsheetml/2006/main" count="9207" uniqueCount="1132">
  <si>
    <t>Order ID</t>
  </si>
  <si>
    <t>Order Date</t>
  </si>
  <si>
    <t>Year</t>
  </si>
  <si>
    <t>Month</t>
  </si>
  <si>
    <t>Region</t>
  </si>
  <si>
    <t>State</t>
  </si>
  <si>
    <t>City</t>
  </si>
  <si>
    <t>Dealership</t>
  </si>
  <si>
    <t>Model</t>
  </si>
  <si>
    <t>Category</t>
  </si>
  <si>
    <t>Fuel Type</t>
  </si>
  <si>
    <t>Quantity</t>
  </si>
  <si>
    <t>Sales (₹)</t>
  </si>
  <si>
    <t>COGS (₹)</t>
  </si>
  <si>
    <t>Profit (₹)</t>
  </si>
  <si>
    <t>Payment Method</t>
  </si>
  <si>
    <t>KIA-25-0001</t>
  </si>
  <si>
    <t>West</t>
  </si>
  <si>
    <t>Maharashtra</t>
  </si>
  <si>
    <t>Mumbai</t>
  </si>
  <si>
    <t>Mumbai Thane</t>
  </si>
  <si>
    <t>Clavis EV</t>
  </si>
  <si>
    <t>Premium &amp; EV</t>
  </si>
  <si>
    <t>Electric</t>
  </si>
  <si>
    <t>UPI</t>
  </si>
  <si>
    <t>KIA-25-0002</t>
  </si>
  <si>
    <t>South</t>
  </si>
  <si>
    <t>Karnataka</t>
  </si>
  <si>
    <t>Bengaluru</t>
  </si>
  <si>
    <t>Bengaluru Whitefield</t>
  </si>
  <si>
    <t>Carens Clavis EV</t>
  </si>
  <si>
    <t>Bank Finance</t>
  </si>
  <si>
    <t>KIA-25-0003</t>
  </si>
  <si>
    <t>North</t>
  </si>
  <si>
    <t>Delhi</t>
  </si>
  <si>
    <t>Delhi Okhla</t>
  </si>
  <si>
    <t>EV9</t>
  </si>
  <si>
    <t>Credit Card</t>
  </si>
  <si>
    <t>KIA-25-0004</t>
  </si>
  <si>
    <t>Bengaluru Koramangala</t>
  </si>
  <si>
    <t>Seltos GTX</t>
  </si>
  <si>
    <t>Mid-size SUV</t>
  </si>
  <si>
    <t>Diesel</t>
  </si>
  <si>
    <t>KIA-25-0005</t>
  </si>
  <si>
    <t>East</t>
  </si>
  <si>
    <t>West Bengal</t>
  </si>
  <si>
    <t>Kolkata</t>
  </si>
  <si>
    <t>Kolkata Salt Lake</t>
  </si>
  <si>
    <t>Sonet GTX</t>
  </si>
  <si>
    <t>Compact SUV</t>
  </si>
  <si>
    <t>KIA-25-0006</t>
  </si>
  <si>
    <t>Gujarat</t>
  </si>
  <si>
    <t>Ahmedabad</t>
  </si>
  <si>
    <t>Ahmedabad Satellite</t>
  </si>
  <si>
    <t>Net Banking</t>
  </si>
  <si>
    <t>KIA-25-0007</t>
  </si>
  <si>
    <t>Carens Clavis</t>
  </si>
  <si>
    <t>MPV</t>
  </si>
  <si>
    <t>Petrol</t>
  </si>
  <si>
    <t>KIA-25-0008</t>
  </si>
  <si>
    <t>Pune</t>
  </si>
  <si>
    <t>Pune Hinjewadi</t>
  </si>
  <si>
    <t>KIA-25-0009</t>
  </si>
  <si>
    <t>Seltos HTX</t>
  </si>
  <si>
    <t>KIA-25-0010</t>
  </si>
  <si>
    <t>Tamil Nadu</t>
  </si>
  <si>
    <t>Chennai</t>
  </si>
  <si>
    <t>Chennai OMR</t>
  </si>
  <si>
    <t>Sonet HTX</t>
  </si>
  <si>
    <t>KIA-25-0011</t>
  </si>
  <si>
    <t>Ahmedabad SG Highway</t>
  </si>
  <si>
    <t>Syros HTK</t>
  </si>
  <si>
    <t>Debit Card</t>
  </si>
  <si>
    <t>KIA-25-0012</t>
  </si>
  <si>
    <t>Mumbai Andheri</t>
  </si>
  <si>
    <t>KIA-25-0013</t>
  </si>
  <si>
    <t>KIA-25-0014</t>
  </si>
  <si>
    <t>KIA-25-0015</t>
  </si>
  <si>
    <t>Cash</t>
  </si>
  <si>
    <t>KIA-25-0016</t>
  </si>
  <si>
    <t>KIA-25-0017</t>
  </si>
  <si>
    <t>Uttar Pradesh</t>
  </si>
  <si>
    <t>Lucknow</t>
  </si>
  <si>
    <t>Lucknow Gomti Nagar</t>
  </si>
  <si>
    <t>EV6 GT-Line</t>
  </si>
  <si>
    <t>KIA-25-0018</t>
  </si>
  <si>
    <t>KIA-25-0019</t>
  </si>
  <si>
    <t>KIA-25-0020</t>
  </si>
  <si>
    <t>KIA-25-0021</t>
  </si>
  <si>
    <t>KIA-25-0022</t>
  </si>
  <si>
    <t>KIA-25-0023</t>
  </si>
  <si>
    <t>KIA-25-0024</t>
  </si>
  <si>
    <t>Rajasthan</t>
  </si>
  <si>
    <t>Jaipur</t>
  </si>
  <si>
    <t>Jaipur Malviya Nagar</t>
  </si>
  <si>
    <t>KIA-25-0025</t>
  </si>
  <si>
    <t>KIA-25-0026</t>
  </si>
  <si>
    <t>KIA-25-0027</t>
  </si>
  <si>
    <t>Surat</t>
  </si>
  <si>
    <t>Surat Adajan</t>
  </si>
  <si>
    <t>KIA-25-0028</t>
  </si>
  <si>
    <t>KIA-25-0029</t>
  </si>
  <si>
    <t>Delhi Rohini</t>
  </si>
  <si>
    <t>KIA-25-0030</t>
  </si>
  <si>
    <t>KIA-25-0031</t>
  </si>
  <si>
    <t>KIA-25-0032</t>
  </si>
  <si>
    <t>KIA-25-0033</t>
  </si>
  <si>
    <t>KIA-25-0034</t>
  </si>
  <si>
    <t>KIA-25-0035</t>
  </si>
  <si>
    <t>KIA-25-0036</t>
  </si>
  <si>
    <t>KIA-25-0037</t>
  </si>
  <si>
    <t>KIA-25-0038</t>
  </si>
  <si>
    <t>KIA-25-0039</t>
  </si>
  <si>
    <t>KIA-25-0040</t>
  </si>
  <si>
    <t>KIA-25-0041</t>
  </si>
  <si>
    <t>KIA-25-0042</t>
  </si>
  <si>
    <t>KIA-25-0043</t>
  </si>
  <si>
    <t>KIA-25-0044</t>
  </si>
  <si>
    <t>Odisha</t>
  </si>
  <si>
    <t>Bhubaneswar</t>
  </si>
  <si>
    <t>Bhubaneswar Patia</t>
  </si>
  <si>
    <t>Carens Luxury</t>
  </si>
  <si>
    <t>KIA-25-0045</t>
  </si>
  <si>
    <t>KIA-25-0046</t>
  </si>
  <si>
    <t>KIA-25-0047</t>
  </si>
  <si>
    <t>KIA-25-0048</t>
  </si>
  <si>
    <t>KIA-25-0049</t>
  </si>
  <si>
    <t>KIA-25-0050</t>
  </si>
  <si>
    <t>KIA-25-0051</t>
  </si>
  <si>
    <t>KIA-25-0052</t>
  </si>
  <si>
    <t>KIA-25-0053</t>
  </si>
  <si>
    <t>Telangana</t>
  </si>
  <si>
    <t>Hyderabad</t>
  </si>
  <si>
    <t>Hyderabad Gachibowli</t>
  </si>
  <si>
    <t>KIA-25-0054</t>
  </si>
  <si>
    <t>KIA-25-0055</t>
  </si>
  <si>
    <t>KIA-25-0056</t>
  </si>
  <si>
    <t>KIA-25-0057</t>
  </si>
  <si>
    <t>KIA-25-0058</t>
  </si>
  <si>
    <t>KIA-25-0059</t>
  </si>
  <si>
    <t>KIA-25-0060</t>
  </si>
  <si>
    <t>KIA-25-0061</t>
  </si>
  <si>
    <t>KIA-25-0062</t>
  </si>
  <si>
    <t>KIA-25-0063</t>
  </si>
  <si>
    <t>KIA-25-0064</t>
  </si>
  <si>
    <t>KIA-25-0065</t>
  </si>
  <si>
    <t>KIA-25-0066</t>
  </si>
  <si>
    <t>KIA-25-0067</t>
  </si>
  <si>
    <t>KIA-25-0068</t>
  </si>
  <si>
    <t>KIA-25-0069</t>
  </si>
  <si>
    <t>KIA-25-0070</t>
  </si>
  <si>
    <t>KIA-25-0071</t>
  </si>
  <si>
    <t>KIA-25-0072</t>
  </si>
  <si>
    <t>KIA-25-0073</t>
  </si>
  <si>
    <t>KIA-25-0074</t>
  </si>
  <si>
    <t>KIA-25-0075</t>
  </si>
  <si>
    <t>KIA-25-0076</t>
  </si>
  <si>
    <t>KIA-25-0077</t>
  </si>
  <si>
    <t>KIA-25-0078</t>
  </si>
  <si>
    <t>KIA-25-0079</t>
  </si>
  <si>
    <t>KIA-25-0080</t>
  </si>
  <si>
    <t>KIA-25-0081</t>
  </si>
  <si>
    <t>KIA-25-0082</t>
  </si>
  <si>
    <t>KIA-25-0083</t>
  </si>
  <si>
    <t>KIA-25-0084</t>
  </si>
  <si>
    <t>KIA-25-0085</t>
  </si>
  <si>
    <t>KIA-25-0086</t>
  </si>
  <si>
    <t>KIA-25-0087</t>
  </si>
  <si>
    <t>KIA-25-0088</t>
  </si>
  <si>
    <t>KIA-25-0089</t>
  </si>
  <si>
    <t>KIA-25-0090</t>
  </si>
  <si>
    <t>Carnival Limousine</t>
  </si>
  <si>
    <t>KIA-25-0091</t>
  </si>
  <si>
    <t>KIA-25-0092</t>
  </si>
  <si>
    <t>KIA-25-0093</t>
  </si>
  <si>
    <t>KIA-25-0094</t>
  </si>
  <si>
    <t>KIA-25-0095</t>
  </si>
  <si>
    <t>KIA-25-0096</t>
  </si>
  <si>
    <t>KIA-25-0097</t>
  </si>
  <si>
    <t>KIA-25-0098</t>
  </si>
  <si>
    <t>KIA-25-0099</t>
  </si>
  <si>
    <t>KIA-25-0100</t>
  </si>
  <si>
    <t>KIA-25-0101</t>
  </si>
  <si>
    <t>KIA-25-0102</t>
  </si>
  <si>
    <t>KIA-25-0103</t>
  </si>
  <si>
    <t>KIA-25-0104</t>
  </si>
  <si>
    <t>KIA-25-0105</t>
  </si>
  <si>
    <t>KIA-25-0106</t>
  </si>
  <si>
    <t>KIA-25-0107</t>
  </si>
  <si>
    <t>KIA-25-0108</t>
  </si>
  <si>
    <t>KIA-25-0109</t>
  </si>
  <si>
    <t>KIA-25-0110</t>
  </si>
  <si>
    <t>KIA-25-0111</t>
  </si>
  <si>
    <t>KIA-25-0112</t>
  </si>
  <si>
    <t>KIA-25-0113</t>
  </si>
  <si>
    <t>KIA-25-0114</t>
  </si>
  <si>
    <t>KIA-25-0115</t>
  </si>
  <si>
    <t>KIA-25-0116</t>
  </si>
  <si>
    <t>KIA-25-0117</t>
  </si>
  <si>
    <t>KIA-25-0118</t>
  </si>
  <si>
    <t>KIA-25-0119</t>
  </si>
  <si>
    <t>KIA-25-0120</t>
  </si>
  <si>
    <t>KIA-25-0121</t>
  </si>
  <si>
    <t>KIA-25-0122</t>
  </si>
  <si>
    <t>KIA-25-0123</t>
  </si>
  <si>
    <t>KIA-25-0124</t>
  </si>
  <si>
    <t>KIA-25-0125</t>
  </si>
  <si>
    <t>KIA-25-0126</t>
  </si>
  <si>
    <t>KIA-25-0127</t>
  </si>
  <si>
    <t>KIA-25-0128</t>
  </si>
  <si>
    <t>KIA-25-0129</t>
  </si>
  <si>
    <t>KIA-25-0130</t>
  </si>
  <si>
    <t>KIA-25-0131</t>
  </si>
  <si>
    <t>KIA-25-0132</t>
  </si>
  <si>
    <t>KIA-25-0133</t>
  </si>
  <si>
    <t>KIA-25-0134</t>
  </si>
  <si>
    <t>KIA-25-0135</t>
  </si>
  <si>
    <t>KIA-25-0136</t>
  </si>
  <si>
    <t>KIA-25-0137</t>
  </si>
  <si>
    <t>KIA-25-0138</t>
  </si>
  <si>
    <t>KIA-25-0139</t>
  </si>
  <si>
    <t>KIA-25-0140</t>
  </si>
  <si>
    <t>KIA-25-0141</t>
  </si>
  <si>
    <t>KIA-25-0142</t>
  </si>
  <si>
    <t>KIA-25-0143</t>
  </si>
  <si>
    <t>KIA-25-0144</t>
  </si>
  <si>
    <t>KIA-25-0145</t>
  </si>
  <si>
    <t>KIA-25-0146</t>
  </si>
  <si>
    <t>KIA-25-0147</t>
  </si>
  <si>
    <t>KIA-25-0148</t>
  </si>
  <si>
    <t>KIA-25-0149</t>
  </si>
  <si>
    <t>KIA-25-0150</t>
  </si>
  <si>
    <t>KIA-25-0151</t>
  </si>
  <si>
    <t>KIA-25-0152</t>
  </si>
  <si>
    <t>KIA-25-0153</t>
  </si>
  <si>
    <t>KIA-25-0154</t>
  </si>
  <si>
    <t>KIA-25-0155</t>
  </si>
  <si>
    <t>KIA-25-0156</t>
  </si>
  <si>
    <t>KIA-25-0157</t>
  </si>
  <si>
    <t>KIA-25-0158</t>
  </si>
  <si>
    <t>KIA-25-0159</t>
  </si>
  <si>
    <t>KIA-25-0160</t>
  </si>
  <si>
    <t>KIA-25-0161</t>
  </si>
  <si>
    <t>KIA-25-0162</t>
  </si>
  <si>
    <t>KIA-25-0163</t>
  </si>
  <si>
    <t>KIA-25-0164</t>
  </si>
  <si>
    <t>KIA-25-0165</t>
  </si>
  <si>
    <t>KIA-25-0166</t>
  </si>
  <si>
    <t>KIA-25-0167</t>
  </si>
  <si>
    <t>KIA-25-0168</t>
  </si>
  <si>
    <t>KIA-25-0169</t>
  </si>
  <si>
    <t>KIA-25-0170</t>
  </si>
  <si>
    <t>KIA-25-0171</t>
  </si>
  <si>
    <t>KIA-25-0172</t>
  </si>
  <si>
    <t>KIA-25-0173</t>
  </si>
  <si>
    <t>KIA-25-0174</t>
  </si>
  <si>
    <t>KIA-25-0175</t>
  </si>
  <si>
    <t>KIA-25-0176</t>
  </si>
  <si>
    <t>KIA-25-0177</t>
  </si>
  <si>
    <t>KIA-25-0178</t>
  </si>
  <si>
    <t>KIA-25-0179</t>
  </si>
  <si>
    <t>KIA-25-0180</t>
  </si>
  <si>
    <t>KIA-25-0181</t>
  </si>
  <si>
    <t>KIA-25-0182</t>
  </si>
  <si>
    <t>KIA-25-0183</t>
  </si>
  <si>
    <t>KIA-25-0184</t>
  </si>
  <si>
    <t>KIA-25-0185</t>
  </si>
  <si>
    <t>KIA-25-0186</t>
  </si>
  <si>
    <t>KIA-25-0187</t>
  </si>
  <si>
    <t>KIA-25-0188</t>
  </si>
  <si>
    <t>KIA-25-0189</t>
  </si>
  <si>
    <t>KIA-25-0190</t>
  </si>
  <si>
    <t>KIA-25-0191</t>
  </si>
  <si>
    <t>KIA-25-0192</t>
  </si>
  <si>
    <t>KIA-25-0193</t>
  </si>
  <si>
    <t>KIA-25-0194</t>
  </si>
  <si>
    <t>KIA-25-0195</t>
  </si>
  <si>
    <t>KIA-25-0196</t>
  </si>
  <si>
    <t>KIA-25-0197</t>
  </si>
  <si>
    <t>KIA-25-0198</t>
  </si>
  <si>
    <t>KIA-25-0199</t>
  </si>
  <si>
    <t>KIA-25-0200</t>
  </si>
  <si>
    <t>KIA-25-0201</t>
  </si>
  <si>
    <t>KIA-25-0202</t>
  </si>
  <si>
    <t>KIA-25-0203</t>
  </si>
  <si>
    <t>KIA-25-0204</t>
  </si>
  <si>
    <t>KIA-25-0205</t>
  </si>
  <si>
    <t>KIA-25-0206</t>
  </si>
  <si>
    <t>KIA-25-0207</t>
  </si>
  <si>
    <t>KIA-25-0208</t>
  </si>
  <si>
    <t>KIA-25-0209</t>
  </si>
  <si>
    <t>KIA-25-0210</t>
  </si>
  <si>
    <t>KIA-25-0211</t>
  </si>
  <si>
    <t>KIA-25-0212</t>
  </si>
  <si>
    <t>KIA-25-0213</t>
  </si>
  <si>
    <t>KIA-25-0214</t>
  </si>
  <si>
    <t>KIA-25-0215</t>
  </si>
  <si>
    <t>KIA-25-0216</t>
  </si>
  <si>
    <t>KIA-25-0217</t>
  </si>
  <si>
    <t>KIA-25-0218</t>
  </si>
  <si>
    <t>KIA-25-0219</t>
  </si>
  <si>
    <t>KIA-25-0220</t>
  </si>
  <si>
    <t>KIA-25-0221</t>
  </si>
  <si>
    <t>KIA-25-0222</t>
  </si>
  <si>
    <t>KIA-25-0223</t>
  </si>
  <si>
    <t>KIA-25-0224</t>
  </si>
  <si>
    <t>KIA-25-0225</t>
  </si>
  <si>
    <t>KIA-25-0226</t>
  </si>
  <si>
    <t>KIA-25-0227</t>
  </si>
  <si>
    <t>KIA-25-0228</t>
  </si>
  <si>
    <t>KIA-25-0229</t>
  </si>
  <si>
    <t>KIA-25-0230</t>
  </si>
  <si>
    <t>KIA-25-0231</t>
  </si>
  <si>
    <t>KIA-25-0232</t>
  </si>
  <si>
    <t>KIA-25-0233</t>
  </si>
  <si>
    <t>KIA-25-0234</t>
  </si>
  <si>
    <t>KIA-25-0235</t>
  </si>
  <si>
    <t>KIA-25-0236</t>
  </si>
  <si>
    <t>KIA-25-0237</t>
  </si>
  <si>
    <t>KIA-25-0238</t>
  </si>
  <si>
    <t>KIA-25-0239</t>
  </si>
  <si>
    <t>KIA-25-0240</t>
  </si>
  <si>
    <t>KIA-25-0241</t>
  </si>
  <si>
    <t>KIA-25-0242</t>
  </si>
  <si>
    <t>KIA-25-0243</t>
  </si>
  <si>
    <t>KIA-25-0244</t>
  </si>
  <si>
    <t>KIA-25-0245</t>
  </si>
  <si>
    <t>KIA-25-0246</t>
  </si>
  <si>
    <t>KIA-25-0247</t>
  </si>
  <si>
    <t>KIA-25-0248</t>
  </si>
  <si>
    <t>KIA-25-0249</t>
  </si>
  <si>
    <t>KIA-25-0250</t>
  </si>
  <si>
    <t>KIA-25-0251</t>
  </si>
  <si>
    <t>KIA-25-0252</t>
  </si>
  <si>
    <t>KIA-25-0253</t>
  </si>
  <si>
    <t>KIA-25-0254</t>
  </si>
  <si>
    <t>KIA-25-0255</t>
  </si>
  <si>
    <t>KIA-25-0256</t>
  </si>
  <si>
    <t>KIA-25-0257</t>
  </si>
  <si>
    <t>KIA-25-0258</t>
  </si>
  <si>
    <t>KIA-25-0259</t>
  </si>
  <si>
    <t>KIA-25-0260</t>
  </si>
  <si>
    <t>KIA-25-0261</t>
  </si>
  <si>
    <t>KIA-25-0262</t>
  </si>
  <si>
    <t>KIA-25-0263</t>
  </si>
  <si>
    <t>KIA-25-0264</t>
  </si>
  <si>
    <t>KIA-25-0265</t>
  </si>
  <si>
    <t>KIA-25-0266</t>
  </si>
  <si>
    <t>KIA-25-0267</t>
  </si>
  <si>
    <t>KIA-25-0268</t>
  </si>
  <si>
    <t>KIA-25-0269</t>
  </si>
  <si>
    <t>KIA-25-0270</t>
  </si>
  <si>
    <t>KIA-25-0271</t>
  </si>
  <si>
    <t>KIA-25-0272</t>
  </si>
  <si>
    <t>KIA-25-0273</t>
  </si>
  <si>
    <t>KIA-25-0274</t>
  </si>
  <si>
    <t>KIA-25-0275</t>
  </si>
  <si>
    <t>KIA-25-0276</t>
  </si>
  <si>
    <t>KIA-25-0277</t>
  </si>
  <si>
    <t>KIA-25-0278</t>
  </si>
  <si>
    <t>KIA-25-0279</t>
  </si>
  <si>
    <t>KIA-25-0280</t>
  </si>
  <si>
    <t>KIA-25-0281</t>
  </si>
  <si>
    <t>KIA-25-0282</t>
  </si>
  <si>
    <t>KIA-25-0283</t>
  </si>
  <si>
    <t>KIA-25-0284</t>
  </si>
  <si>
    <t>KIA-25-0285</t>
  </si>
  <si>
    <t>KIA-25-0286</t>
  </si>
  <si>
    <t>KIA-25-0287</t>
  </si>
  <si>
    <t>KIA-25-0288</t>
  </si>
  <si>
    <t>KIA-25-0289</t>
  </si>
  <si>
    <t>KIA-25-0290</t>
  </si>
  <si>
    <t>KIA-25-0291</t>
  </si>
  <si>
    <t>KIA-25-0292</t>
  </si>
  <si>
    <t>KIA-25-0293</t>
  </si>
  <si>
    <t>KIA-25-0294</t>
  </si>
  <si>
    <t>KIA-25-0295</t>
  </si>
  <si>
    <t>KIA-25-0296</t>
  </si>
  <si>
    <t>KIA-25-0297</t>
  </si>
  <si>
    <t>KIA-25-0298</t>
  </si>
  <si>
    <t>KIA-25-0299</t>
  </si>
  <si>
    <t>KIA-25-0300</t>
  </si>
  <si>
    <t>KIA-25-0301</t>
  </si>
  <si>
    <t>KIA-25-0302</t>
  </si>
  <si>
    <t>KIA-25-0303</t>
  </si>
  <si>
    <t>KIA-25-0304</t>
  </si>
  <si>
    <t>KIA-25-0305</t>
  </si>
  <si>
    <t>KIA-25-0306</t>
  </si>
  <si>
    <t>KIA-25-0307</t>
  </si>
  <si>
    <t>KIA-25-0308</t>
  </si>
  <si>
    <t>KIA-25-0309</t>
  </si>
  <si>
    <t>KIA-25-0310</t>
  </si>
  <si>
    <t>KIA-25-0311</t>
  </si>
  <si>
    <t>KIA-25-0312</t>
  </si>
  <si>
    <t>KIA-25-0313</t>
  </si>
  <si>
    <t>KIA-25-0314</t>
  </si>
  <si>
    <t>KIA-25-0315</t>
  </si>
  <si>
    <t>KIA-25-0316</t>
  </si>
  <si>
    <t>KIA-25-0317</t>
  </si>
  <si>
    <t>KIA-25-0318</t>
  </si>
  <si>
    <t>KIA-25-0319</t>
  </si>
  <si>
    <t>KIA-25-0320</t>
  </si>
  <si>
    <t>KIA-25-0321</t>
  </si>
  <si>
    <t>KIA-25-0322</t>
  </si>
  <si>
    <t>KIA-25-0323</t>
  </si>
  <si>
    <t>KIA-25-0324</t>
  </si>
  <si>
    <t>KIA-25-0325</t>
  </si>
  <si>
    <t>KIA-25-0326</t>
  </si>
  <si>
    <t>KIA-25-0327</t>
  </si>
  <si>
    <t>KIA-25-0328</t>
  </si>
  <si>
    <t>KIA-25-0329</t>
  </si>
  <si>
    <t>KIA-25-0330</t>
  </si>
  <si>
    <t>KIA-25-0331</t>
  </si>
  <si>
    <t>KIA-25-0332</t>
  </si>
  <si>
    <t>KIA-25-0333</t>
  </si>
  <si>
    <t>KIA-25-0334</t>
  </si>
  <si>
    <t>KIA-25-0335</t>
  </si>
  <si>
    <t>KIA-25-0336</t>
  </si>
  <si>
    <t>KIA-25-0337</t>
  </si>
  <si>
    <t>KIA-25-0338</t>
  </si>
  <si>
    <t>KIA-25-0339</t>
  </si>
  <si>
    <t>KIA-25-0340</t>
  </si>
  <si>
    <t>KIA-25-0341</t>
  </si>
  <si>
    <t>KIA-25-0342</t>
  </si>
  <si>
    <t>KIA-25-0343</t>
  </si>
  <si>
    <t>KIA-25-0344</t>
  </si>
  <si>
    <t>KIA-25-0345</t>
  </si>
  <si>
    <t>KIA-25-0346</t>
  </si>
  <si>
    <t>KIA-25-0347</t>
  </si>
  <si>
    <t>KIA-25-0348</t>
  </si>
  <si>
    <t>KIA-25-0349</t>
  </si>
  <si>
    <t>KIA-25-0350</t>
  </si>
  <si>
    <t>KIA-25-0351</t>
  </si>
  <si>
    <t>KIA-25-0352</t>
  </si>
  <si>
    <t>KIA-25-0353</t>
  </si>
  <si>
    <t>KIA-25-0354</t>
  </si>
  <si>
    <t>KIA-25-0355</t>
  </si>
  <si>
    <t>KIA-25-0356</t>
  </si>
  <si>
    <t>KIA-25-0357</t>
  </si>
  <si>
    <t>KIA-25-0358</t>
  </si>
  <si>
    <t>KIA-25-0359</t>
  </si>
  <si>
    <t>KIA-25-0360</t>
  </si>
  <si>
    <t>KIA-25-0361</t>
  </si>
  <si>
    <t>KIA-25-0362</t>
  </si>
  <si>
    <t>KIA-25-0363</t>
  </si>
  <si>
    <t>KIA-25-0364</t>
  </si>
  <si>
    <t>KIA-25-0365</t>
  </si>
  <si>
    <t>KIA-25-0366</t>
  </si>
  <si>
    <t>KIA-25-0367</t>
  </si>
  <si>
    <t>KIA-25-0368</t>
  </si>
  <si>
    <t>KIA-25-0369</t>
  </si>
  <si>
    <t>KIA-25-0370</t>
  </si>
  <si>
    <t>KIA-25-0371</t>
  </si>
  <si>
    <t>KIA-25-0372</t>
  </si>
  <si>
    <t>KIA-25-0373</t>
  </si>
  <si>
    <t>KIA-25-0374</t>
  </si>
  <si>
    <t>KIA-25-0375</t>
  </si>
  <si>
    <t>KIA-25-0376</t>
  </si>
  <si>
    <t>KIA-25-0377</t>
  </si>
  <si>
    <t>KIA-25-0378</t>
  </si>
  <si>
    <t>KIA-25-0379</t>
  </si>
  <si>
    <t>KIA-25-0380</t>
  </si>
  <si>
    <t>KIA-25-0381</t>
  </si>
  <si>
    <t>KIA-25-0382</t>
  </si>
  <si>
    <t>KIA-25-0383</t>
  </si>
  <si>
    <t>KIA-25-0384</t>
  </si>
  <si>
    <t>KIA-25-0385</t>
  </si>
  <si>
    <t>KIA-25-0386</t>
  </si>
  <si>
    <t>KIA-25-0387</t>
  </si>
  <si>
    <t>KIA-25-0388</t>
  </si>
  <si>
    <t>KIA-25-0389</t>
  </si>
  <si>
    <t>KIA-25-0390</t>
  </si>
  <si>
    <t>KIA-25-0391</t>
  </si>
  <si>
    <t>KIA-25-0392</t>
  </si>
  <si>
    <t>KIA-25-0393</t>
  </si>
  <si>
    <t>KIA-25-0394</t>
  </si>
  <si>
    <t>KIA-25-0395</t>
  </si>
  <si>
    <t>KIA-25-0396</t>
  </si>
  <si>
    <t>KIA-25-0397</t>
  </si>
  <si>
    <t>KIA-25-0398</t>
  </si>
  <si>
    <t>KIA-25-0399</t>
  </si>
  <si>
    <t>KIA-25-0400</t>
  </si>
  <si>
    <t>KIA-25-0401</t>
  </si>
  <si>
    <t>KIA-25-0402</t>
  </si>
  <si>
    <t>KIA-25-0403</t>
  </si>
  <si>
    <t>KIA-25-0404</t>
  </si>
  <si>
    <t>KIA-25-0405</t>
  </si>
  <si>
    <t>KIA-25-0406</t>
  </si>
  <si>
    <t>KIA-25-0407</t>
  </si>
  <si>
    <t>KIA-25-0408</t>
  </si>
  <si>
    <t>KIA-25-0409</t>
  </si>
  <si>
    <t>KIA-25-0410</t>
  </si>
  <si>
    <t>KIA-25-0411</t>
  </si>
  <si>
    <t>KIA-25-0412</t>
  </si>
  <si>
    <t>KIA-25-0413</t>
  </si>
  <si>
    <t>KIA-25-0414</t>
  </si>
  <si>
    <t>KIA-25-0415</t>
  </si>
  <si>
    <t>KIA-25-0416</t>
  </si>
  <si>
    <t>KIA-25-0417</t>
  </si>
  <si>
    <t>KIA-25-0418</t>
  </si>
  <si>
    <t>KIA-25-0419</t>
  </si>
  <si>
    <t>KIA-25-0420</t>
  </si>
  <si>
    <t>KIA-25-0421</t>
  </si>
  <si>
    <t>KIA-25-0422</t>
  </si>
  <si>
    <t>KIA-25-0423</t>
  </si>
  <si>
    <t>KIA-25-0424</t>
  </si>
  <si>
    <t>KIA-25-0425</t>
  </si>
  <si>
    <t>KIA-25-0426</t>
  </si>
  <si>
    <t>KIA-25-0427</t>
  </si>
  <si>
    <t>KIA-25-0428</t>
  </si>
  <si>
    <t>KIA-25-0429</t>
  </si>
  <si>
    <t>KIA-25-0430</t>
  </si>
  <si>
    <t>KIA-25-0431</t>
  </si>
  <si>
    <t>KIA-25-0432</t>
  </si>
  <si>
    <t>KIA-25-0433</t>
  </si>
  <si>
    <t>KIA-25-0434</t>
  </si>
  <si>
    <t>KIA-25-0435</t>
  </si>
  <si>
    <t>KIA-25-0436</t>
  </si>
  <si>
    <t>KIA-25-0437</t>
  </si>
  <si>
    <t>KIA-25-0438</t>
  </si>
  <si>
    <t>KIA-25-0439</t>
  </si>
  <si>
    <t>KIA-25-0440</t>
  </si>
  <si>
    <t>KIA-25-0441</t>
  </si>
  <si>
    <t>KIA-25-0442</t>
  </si>
  <si>
    <t>KIA-25-0443</t>
  </si>
  <si>
    <t>KIA-25-0444</t>
  </si>
  <si>
    <t>KIA-25-0445</t>
  </si>
  <si>
    <t>KIA-25-0446</t>
  </si>
  <si>
    <t>KIA-25-0447</t>
  </si>
  <si>
    <t>KIA-25-0448</t>
  </si>
  <si>
    <t>KIA-25-0449</t>
  </si>
  <si>
    <t>KIA-25-0450</t>
  </si>
  <si>
    <t>KIA-25-0451</t>
  </si>
  <si>
    <t>KIA-25-0452</t>
  </si>
  <si>
    <t>KIA-25-0453</t>
  </si>
  <si>
    <t>KIA-25-0454</t>
  </si>
  <si>
    <t>KIA-25-0455</t>
  </si>
  <si>
    <t>KIA-25-0456</t>
  </si>
  <si>
    <t>KIA-25-0457</t>
  </si>
  <si>
    <t>KIA-25-0458</t>
  </si>
  <si>
    <t>KIA-25-0459</t>
  </si>
  <si>
    <t>KIA-25-0460</t>
  </si>
  <si>
    <t>KIA-25-0461</t>
  </si>
  <si>
    <t>KIA-25-0462</t>
  </si>
  <si>
    <t>KIA-25-0463</t>
  </si>
  <si>
    <t>KIA-25-0464</t>
  </si>
  <si>
    <t>KIA-25-0465</t>
  </si>
  <si>
    <t>KIA-25-0466</t>
  </si>
  <si>
    <t>KIA-25-0467</t>
  </si>
  <si>
    <t>KIA-25-0468</t>
  </si>
  <si>
    <t>KIA-25-0469</t>
  </si>
  <si>
    <t>KIA-25-0470</t>
  </si>
  <si>
    <t>KIA-26-0471</t>
  </si>
  <si>
    <t>KIA-26-0472</t>
  </si>
  <si>
    <t>KIA-26-0473</t>
  </si>
  <si>
    <t>KIA-26-0474</t>
  </si>
  <si>
    <t>KIA-26-0475</t>
  </si>
  <si>
    <t>KIA-26-0476</t>
  </si>
  <si>
    <t>KIA-26-0477</t>
  </si>
  <si>
    <t>KIA-26-0478</t>
  </si>
  <si>
    <t>KIA-26-0479</t>
  </si>
  <si>
    <t>KIA-26-0480</t>
  </si>
  <si>
    <t>KIA-26-0481</t>
  </si>
  <si>
    <t>KIA-26-0482</t>
  </si>
  <si>
    <t>KIA-26-0483</t>
  </si>
  <si>
    <t>KIA-26-0484</t>
  </si>
  <si>
    <t>KIA-26-0485</t>
  </si>
  <si>
    <t>KIA-26-0486</t>
  </si>
  <si>
    <t>KIA-26-0487</t>
  </si>
  <si>
    <t>KIA-26-0488</t>
  </si>
  <si>
    <t>KIA-26-0489</t>
  </si>
  <si>
    <t>KIA-26-0490</t>
  </si>
  <si>
    <t>KIA-26-0491</t>
  </si>
  <si>
    <t>KIA-26-0492</t>
  </si>
  <si>
    <t>KIA-26-0493</t>
  </si>
  <si>
    <t>KIA-26-0494</t>
  </si>
  <si>
    <t>KIA-26-0495</t>
  </si>
  <si>
    <t>KIA-26-0496</t>
  </si>
  <si>
    <t>KIA-26-0497</t>
  </si>
  <si>
    <t>KIA-26-0498</t>
  </si>
  <si>
    <t>KIA-26-0499</t>
  </si>
  <si>
    <t>KIA-26-0500</t>
  </si>
  <si>
    <t>KIA-26-0501</t>
  </si>
  <si>
    <t>KIA-26-0502</t>
  </si>
  <si>
    <t>KIA-26-0503</t>
  </si>
  <si>
    <t>KIA-26-0504</t>
  </si>
  <si>
    <t>KIA-26-0505</t>
  </si>
  <si>
    <t>KIA-26-0506</t>
  </si>
  <si>
    <t>KIA-26-0507</t>
  </si>
  <si>
    <t>KIA-26-0508</t>
  </si>
  <si>
    <t>KIA-26-0509</t>
  </si>
  <si>
    <t>KIA-26-0510</t>
  </si>
  <si>
    <t>KIA-26-0511</t>
  </si>
  <si>
    <t>KIA-26-0512</t>
  </si>
  <si>
    <t>KIA-26-0513</t>
  </si>
  <si>
    <t>KIA-26-0514</t>
  </si>
  <si>
    <t>KIA-26-0515</t>
  </si>
  <si>
    <t>KIA-26-0516</t>
  </si>
  <si>
    <t>KIA-26-0517</t>
  </si>
  <si>
    <t>KIA-26-0518</t>
  </si>
  <si>
    <t>KIA-26-0519</t>
  </si>
  <si>
    <t>KIA-26-0520</t>
  </si>
  <si>
    <t>KIA-26-0521</t>
  </si>
  <si>
    <t>KIA-26-0522</t>
  </si>
  <si>
    <t>KIA-26-0523</t>
  </si>
  <si>
    <t>KIA-26-0524</t>
  </si>
  <si>
    <t>KIA-26-0525</t>
  </si>
  <si>
    <t>KIA-26-0526</t>
  </si>
  <si>
    <t>KIA-26-0527</t>
  </si>
  <si>
    <t>KIA-26-0528</t>
  </si>
  <si>
    <t>KIA-26-0529</t>
  </si>
  <si>
    <t>KIA-26-0530</t>
  </si>
  <si>
    <t>KIA-26-0531</t>
  </si>
  <si>
    <t>KIA-26-0532</t>
  </si>
  <si>
    <t>KIA-26-0533</t>
  </si>
  <si>
    <t>KIA-26-0534</t>
  </si>
  <si>
    <t>KIA-26-0535</t>
  </si>
  <si>
    <t>KIA-26-0536</t>
  </si>
  <si>
    <t>KIA-26-0537</t>
  </si>
  <si>
    <t>KIA-26-0538</t>
  </si>
  <si>
    <t>KIA-26-0539</t>
  </si>
  <si>
    <t>KIA-26-0540</t>
  </si>
  <si>
    <t>KIA-26-0541</t>
  </si>
  <si>
    <t>KIA-26-0542</t>
  </si>
  <si>
    <t>KIA-26-0543</t>
  </si>
  <si>
    <t>KIA-26-0544</t>
  </si>
  <si>
    <t>KIA-26-0545</t>
  </si>
  <si>
    <t>KIA-26-0546</t>
  </si>
  <si>
    <t>KIA-26-0547</t>
  </si>
  <si>
    <t>KIA-26-0548</t>
  </si>
  <si>
    <t>KIA-26-0549</t>
  </si>
  <si>
    <t>KIA-26-0550</t>
  </si>
  <si>
    <t>KIA-26-0551</t>
  </si>
  <si>
    <t>KIA-26-0552</t>
  </si>
  <si>
    <t>KIA-26-0553</t>
  </si>
  <si>
    <t>KIA-26-0554</t>
  </si>
  <si>
    <t>KIA-26-0555</t>
  </si>
  <si>
    <t>KIA-26-0556</t>
  </si>
  <si>
    <t>KIA-26-0557</t>
  </si>
  <si>
    <t>KIA-26-0558</t>
  </si>
  <si>
    <t>KIA-26-0559</t>
  </si>
  <si>
    <t>KIA-26-0560</t>
  </si>
  <si>
    <t>KIA-26-0561</t>
  </si>
  <si>
    <t>KIA-26-0562</t>
  </si>
  <si>
    <t>KIA-26-0563</t>
  </si>
  <si>
    <t>KIA-26-0564</t>
  </si>
  <si>
    <t>KIA-26-0565</t>
  </si>
  <si>
    <t>KIA-26-0566</t>
  </si>
  <si>
    <t>KIA-26-0567</t>
  </si>
  <si>
    <t>KIA-26-0568</t>
  </si>
  <si>
    <t>KIA-26-0569</t>
  </si>
  <si>
    <t>KIA-26-0570</t>
  </si>
  <si>
    <t>KIA-26-0571</t>
  </si>
  <si>
    <t>KIA-26-0572</t>
  </si>
  <si>
    <t>KIA-26-0573</t>
  </si>
  <si>
    <t>KIA-26-0574</t>
  </si>
  <si>
    <t>KIA-26-0575</t>
  </si>
  <si>
    <t>KIA-26-0576</t>
  </si>
  <si>
    <t>KIA-26-0577</t>
  </si>
  <si>
    <t>KIA-26-0578</t>
  </si>
  <si>
    <t>KIA-26-0579</t>
  </si>
  <si>
    <t>KIA-26-0580</t>
  </si>
  <si>
    <t>KIA-26-0581</t>
  </si>
  <si>
    <t>KIA-26-0582</t>
  </si>
  <si>
    <t>KIA-26-0583</t>
  </si>
  <si>
    <t>KIA-26-0584</t>
  </si>
  <si>
    <t>KIA-26-0585</t>
  </si>
  <si>
    <t>KIA-26-0586</t>
  </si>
  <si>
    <t>KIA-26-0587</t>
  </si>
  <si>
    <t>KIA-26-0588</t>
  </si>
  <si>
    <t>KIA-26-0589</t>
  </si>
  <si>
    <t>KIA-26-0590</t>
  </si>
  <si>
    <t>KIA-26-0591</t>
  </si>
  <si>
    <t>KIA-26-0592</t>
  </si>
  <si>
    <t>KIA-26-0593</t>
  </si>
  <si>
    <t>KIA-26-0594</t>
  </si>
  <si>
    <t>KIA-26-0595</t>
  </si>
  <si>
    <t>KIA-26-0596</t>
  </si>
  <si>
    <t>KIA-26-0597</t>
  </si>
  <si>
    <t>KIA-26-0598</t>
  </si>
  <si>
    <t>KIA-26-0599</t>
  </si>
  <si>
    <t>KIA-26-0600</t>
  </si>
  <si>
    <t>KIA-26-0601</t>
  </si>
  <si>
    <t>KIA-26-0602</t>
  </si>
  <si>
    <t>KIA-26-0603</t>
  </si>
  <si>
    <t>KIA-26-0604</t>
  </si>
  <si>
    <t>KIA-26-0605</t>
  </si>
  <si>
    <t>KIA-26-0606</t>
  </si>
  <si>
    <t>KIA-26-0607</t>
  </si>
  <si>
    <t>KIA-26-0608</t>
  </si>
  <si>
    <t>KIA-26-0609</t>
  </si>
  <si>
    <t>KIA-26-0610</t>
  </si>
  <si>
    <t>KIA-26-0611</t>
  </si>
  <si>
    <t>KIA-26-0612</t>
  </si>
  <si>
    <t>KIA-26-0613</t>
  </si>
  <si>
    <t>KIA-26-0614</t>
  </si>
  <si>
    <t>KIA-26-0615</t>
  </si>
  <si>
    <t>KIA-26-0616</t>
  </si>
  <si>
    <t>KIA-26-0617</t>
  </si>
  <si>
    <t>KIA-26-0618</t>
  </si>
  <si>
    <t>KIA-26-0619</t>
  </si>
  <si>
    <t>KIA-26-0620</t>
  </si>
  <si>
    <t>KIA-26-0621</t>
  </si>
  <si>
    <t>KIA-26-0622</t>
  </si>
  <si>
    <t>KIA-26-0623</t>
  </si>
  <si>
    <t>KIA-26-0624</t>
  </si>
  <si>
    <t>KIA-26-0625</t>
  </si>
  <si>
    <t>KIA-26-0626</t>
  </si>
  <si>
    <t>KIA-26-0627</t>
  </si>
  <si>
    <t>KIA-26-0628</t>
  </si>
  <si>
    <t>KIA-26-0629</t>
  </si>
  <si>
    <t>KIA-26-0630</t>
  </si>
  <si>
    <t>KIA-26-0631</t>
  </si>
  <si>
    <t>KIA-26-0632</t>
  </si>
  <si>
    <t>KIA-26-0633</t>
  </si>
  <si>
    <t>KIA-26-0634</t>
  </si>
  <si>
    <t>KIA-26-0635</t>
  </si>
  <si>
    <t>KIA-26-0636</t>
  </si>
  <si>
    <t>KIA-26-0637</t>
  </si>
  <si>
    <t>KIA-26-0638</t>
  </si>
  <si>
    <t>KIA-26-0639</t>
  </si>
  <si>
    <t>KIA-26-0640</t>
  </si>
  <si>
    <t>KIA-26-0641</t>
  </si>
  <si>
    <t>KIA-26-0642</t>
  </si>
  <si>
    <t>KIA-26-0643</t>
  </si>
  <si>
    <t>KIA-26-0644</t>
  </si>
  <si>
    <t>KIA-26-0645</t>
  </si>
  <si>
    <t>KIA-26-0646</t>
  </si>
  <si>
    <t>KIA-26-0647</t>
  </si>
  <si>
    <t>KIA-26-0648</t>
  </si>
  <si>
    <t>KIA-26-0649</t>
  </si>
  <si>
    <t>KIA-26-0650</t>
  </si>
  <si>
    <t>KIA-26-0651</t>
  </si>
  <si>
    <t>KIA-26-0652</t>
  </si>
  <si>
    <t>KIA-26-0653</t>
  </si>
  <si>
    <t>KIA-26-0654</t>
  </si>
  <si>
    <t>KIA-26-0655</t>
  </si>
  <si>
    <t>KIA-26-0656</t>
  </si>
  <si>
    <t>KIA-26-0657</t>
  </si>
  <si>
    <t>KIA-26-0658</t>
  </si>
  <si>
    <t>KIA-26-0659</t>
  </si>
  <si>
    <t>KIA-26-0660</t>
  </si>
  <si>
    <t>KIA-26-0661</t>
  </si>
  <si>
    <t>KIA-26-0662</t>
  </si>
  <si>
    <t>KIA-26-0663</t>
  </si>
  <si>
    <t>KIA-26-0664</t>
  </si>
  <si>
    <t>KIA-26-0665</t>
  </si>
  <si>
    <t>KIA-26-0666</t>
  </si>
  <si>
    <t>KIA-26-0667</t>
  </si>
  <si>
    <t>KIA-26-0668</t>
  </si>
  <si>
    <t>KIA-26-0669</t>
  </si>
  <si>
    <t>KIA-26-0670</t>
  </si>
  <si>
    <t>KIA-26-0671</t>
  </si>
  <si>
    <t>KIA-26-0672</t>
  </si>
  <si>
    <t>KIA-26-0673</t>
  </si>
  <si>
    <t>KIA-26-0674</t>
  </si>
  <si>
    <t>KIA-26-0675</t>
  </si>
  <si>
    <t>KIA-26-0676</t>
  </si>
  <si>
    <t>KIA-26-0677</t>
  </si>
  <si>
    <t>KIA-26-0678</t>
  </si>
  <si>
    <t>KIA-26-0679</t>
  </si>
  <si>
    <t>KIA-26-0680</t>
  </si>
  <si>
    <t>KIA-26-0681</t>
  </si>
  <si>
    <t>KIA-26-0682</t>
  </si>
  <si>
    <t>KIA-26-0683</t>
  </si>
  <si>
    <t>KIA-26-0684</t>
  </si>
  <si>
    <t>KIA-26-0685</t>
  </si>
  <si>
    <t>KIA-26-0686</t>
  </si>
  <si>
    <t>KIA-26-0687</t>
  </si>
  <si>
    <t>KIA-26-0688</t>
  </si>
  <si>
    <t>KIA-26-0689</t>
  </si>
  <si>
    <t>KIA-26-0690</t>
  </si>
  <si>
    <t>KIA-26-0691</t>
  </si>
  <si>
    <t>KIA-26-0692</t>
  </si>
  <si>
    <t>KIA-26-0693</t>
  </si>
  <si>
    <t>KIA-26-0694</t>
  </si>
  <si>
    <t>KIA-26-0695</t>
  </si>
  <si>
    <t>KIA-26-0696</t>
  </si>
  <si>
    <t>KIA-26-0697</t>
  </si>
  <si>
    <t>KIA-26-0698</t>
  </si>
  <si>
    <t>KIA-26-0699</t>
  </si>
  <si>
    <t>KIA-26-0700</t>
  </si>
  <si>
    <t>KIA-26-0701</t>
  </si>
  <si>
    <t>KIA-26-0702</t>
  </si>
  <si>
    <t>KIA-26-0703</t>
  </si>
  <si>
    <t>KIA-26-0704</t>
  </si>
  <si>
    <t>KIA-26-0705</t>
  </si>
  <si>
    <t>KIA-26-0706</t>
  </si>
  <si>
    <t>KIA-26-0707</t>
  </si>
  <si>
    <t>KIA-26-0708</t>
  </si>
  <si>
    <t>KIA-26-0709</t>
  </si>
  <si>
    <t>KIA-26-0710</t>
  </si>
  <si>
    <t>KIA-26-0711</t>
  </si>
  <si>
    <t>KIA-26-0712</t>
  </si>
  <si>
    <t>KIA-26-0713</t>
  </si>
  <si>
    <t>KIA-26-0714</t>
  </si>
  <si>
    <t>KIA-26-0715</t>
  </si>
  <si>
    <t>KIA-26-0716</t>
  </si>
  <si>
    <t>KIA-26-0717</t>
  </si>
  <si>
    <t>KIA-26-0718</t>
  </si>
  <si>
    <t>KIA-26-0719</t>
  </si>
  <si>
    <t>KIA-26-0720</t>
  </si>
  <si>
    <t>KIA-26-0721</t>
  </si>
  <si>
    <t>KIA-26-0722</t>
  </si>
  <si>
    <t>KIA-26-0723</t>
  </si>
  <si>
    <t>KIA-26-0724</t>
  </si>
  <si>
    <t>KIA-26-0725</t>
  </si>
  <si>
    <t>KIA-26-0726</t>
  </si>
  <si>
    <t>KIA-26-0727</t>
  </si>
  <si>
    <t>KIA-26-0728</t>
  </si>
  <si>
    <t>KIA-26-0729</t>
  </si>
  <si>
    <t>KIA-26-0730</t>
  </si>
  <si>
    <t>KIA-26-0731</t>
  </si>
  <si>
    <t>KIA-26-0732</t>
  </si>
  <si>
    <t>KIA-26-0733</t>
  </si>
  <si>
    <t>KIA-26-0734</t>
  </si>
  <si>
    <t>KIA-26-0735</t>
  </si>
  <si>
    <t>KIA-26-0736</t>
  </si>
  <si>
    <t>KIA-26-0737</t>
  </si>
  <si>
    <t>KIA-26-0738</t>
  </si>
  <si>
    <t>KIA-26-0739</t>
  </si>
  <si>
    <t>KIA-26-0740</t>
  </si>
  <si>
    <t>KIA-26-0741</t>
  </si>
  <si>
    <t>KIA-26-0742</t>
  </si>
  <si>
    <t>KIA-26-0743</t>
  </si>
  <si>
    <t>KIA-26-0744</t>
  </si>
  <si>
    <t>KIA-26-0745</t>
  </si>
  <si>
    <t>KIA-26-0746</t>
  </si>
  <si>
    <t>KIA-26-0747</t>
  </si>
  <si>
    <t>KIA-26-0748</t>
  </si>
  <si>
    <t>KIA-26-0749</t>
  </si>
  <si>
    <t>KIA-26-0750</t>
  </si>
  <si>
    <t>KIA-26-0751</t>
  </si>
  <si>
    <t>KIA-26-0752</t>
  </si>
  <si>
    <t>KIA-26-0753</t>
  </si>
  <si>
    <t>KIA-26-0754</t>
  </si>
  <si>
    <t>KIA-26-0755</t>
  </si>
  <si>
    <t>KIA-26-0756</t>
  </si>
  <si>
    <t>KIA-26-0757</t>
  </si>
  <si>
    <t>KIA-26-0758</t>
  </si>
  <si>
    <t>KIA-26-0759</t>
  </si>
  <si>
    <t>KIA-26-0760</t>
  </si>
  <si>
    <t>KIA-26-0761</t>
  </si>
  <si>
    <t>KIA-26-0762</t>
  </si>
  <si>
    <t>KIA-26-0763</t>
  </si>
  <si>
    <t>KIA-26-0764</t>
  </si>
  <si>
    <t>KIA-26-0765</t>
  </si>
  <si>
    <t>KIA-26-0766</t>
  </si>
  <si>
    <t>KIA-26-0767</t>
  </si>
  <si>
    <t>KIA-26-0768</t>
  </si>
  <si>
    <t>KIA-26-0769</t>
  </si>
  <si>
    <t>KIA-26-0770</t>
  </si>
  <si>
    <t>KIA-26-0771</t>
  </si>
  <si>
    <t>KIA-26-0772</t>
  </si>
  <si>
    <t>KIA-26-0773</t>
  </si>
  <si>
    <t>KIA-26-0774</t>
  </si>
  <si>
    <t>KIA-26-0775</t>
  </si>
  <si>
    <t>KIA-26-0776</t>
  </si>
  <si>
    <t>KIA-26-0777</t>
  </si>
  <si>
    <t>KIA-26-0778</t>
  </si>
  <si>
    <t>KIA-26-0779</t>
  </si>
  <si>
    <t>KIA-26-0780</t>
  </si>
  <si>
    <t>KIA-26-0781</t>
  </si>
  <si>
    <t>KIA-26-0782</t>
  </si>
  <si>
    <t>KIA-26-0783</t>
  </si>
  <si>
    <t>KIA-26-0784</t>
  </si>
  <si>
    <t>KIA-26-0785</t>
  </si>
  <si>
    <t>KIA-26-0786</t>
  </si>
  <si>
    <t>KIA-26-0787</t>
  </si>
  <si>
    <t>KIA-26-0788</t>
  </si>
  <si>
    <t>KIA-26-0789</t>
  </si>
  <si>
    <t>KIA-26-0790</t>
  </si>
  <si>
    <t>KIA-26-0791</t>
  </si>
  <si>
    <t>KIA-26-0792</t>
  </si>
  <si>
    <t>KIA-26-0793</t>
  </si>
  <si>
    <t>KIA-26-0794</t>
  </si>
  <si>
    <t>KIA-26-0795</t>
  </si>
  <si>
    <t>KIA-26-0796</t>
  </si>
  <si>
    <t>KIA-26-0797</t>
  </si>
  <si>
    <t>KIA-26-0798</t>
  </si>
  <si>
    <t>KIA-26-0799</t>
  </si>
  <si>
    <t>KIA-26-0800</t>
  </si>
  <si>
    <t>KIA-26-0801</t>
  </si>
  <si>
    <t>KIA-26-0802</t>
  </si>
  <si>
    <t>KIA-26-0803</t>
  </si>
  <si>
    <t>KIA-26-0804</t>
  </si>
  <si>
    <t>KIA-26-0805</t>
  </si>
  <si>
    <t>KIA-26-0806</t>
  </si>
  <si>
    <t>KIA-26-0807</t>
  </si>
  <si>
    <t>KIA-26-0808</t>
  </si>
  <si>
    <t>KIA-26-0809</t>
  </si>
  <si>
    <t>KIA-26-0810</t>
  </si>
  <si>
    <t>KIA-26-0811</t>
  </si>
  <si>
    <t>KIA-26-0812</t>
  </si>
  <si>
    <t>KIA-26-0813</t>
  </si>
  <si>
    <t>KIA-26-0814</t>
  </si>
  <si>
    <t>KIA-26-0815</t>
  </si>
  <si>
    <t>KIA-26-0816</t>
  </si>
  <si>
    <t>KIA-26-0817</t>
  </si>
  <si>
    <t>KIA-26-0818</t>
  </si>
  <si>
    <t>KIA-26-0819</t>
  </si>
  <si>
    <t>KIA-26-0820</t>
  </si>
  <si>
    <t>KIA-26-0821</t>
  </si>
  <si>
    <t>KIA-26-0822</t>
  </si>
  <si>
    <t>KIA-26-0823</t>
  </si>
  <si>
    <t>KIA-26-0824</t>
  </si>
  <si>
    <t>KIA-26-0825</t>
  </si>
  <si>
    <t>KIA-26-0826</t>
  </si>
  <si>
    <t>KIA-26-0827</t>
  </si>
  <si>
    <t>KIA-26-0828</t>
  </si>
  <si>
    <t>KIA-26-0829</t>
  </si>
  <si>
    <t>KIA-26-0830</t>
  </si>
  <si>
    <t>KIA-26-0831</t>
  </si>
  <si>
    <t>KIA-26-0832</t>
  </si>
  <si>
    <t>KIA-26-0833</t>
  </si>
  <si>
    <t>KIA-26-0834</t>
  </si>
  <si>
    <t>KIA-26-0835</t>
  </si>
  <si>
    <t>KIA-26-0836</t>
  </si>
  <si>
    <t>KIA-26-0837</t>
  </si>
  <si>
    <t>KIA-26-0838</t>
  </si>
  <si>
    <t>KIA-26-0839</t>
  </si>
  <si>
    <t>KIA-26-0840</t>
  </si>
  <si>
    <t>KIA-26-0841</t>
  </si>
  <si>
    <t>KIA-26-0842</t>
  </si>
  <si>
    <t>KIA-26-0843</t>
  </si>
  <si>
    <t>KIA-26-0844</t>
  </si>
  <si>
    <t>KIA-26-0845</t>
  </si>
  <si>
    <t>KIA-26-0846</t>
  </si>
  <si>
    <t>KIA-26-0847</t>
  </si>
  <si>
    <t>KIA-26-0848</t>
  </si>
  <si>
    <t>KIA-26-0849</t>
  </si>
  <si>
    <t>KIA-26-0850</t>
  </si>
  <si>
    <t>KIA-26-0851</t>
  </si>
  <si>
    <t>KIA-26-0852</t>
  </si>
  <si>
    <t>KIA-26-0853</t>
  </si>
  <si>
    <t>KIA-26-0854</t>
  </si>
  <si>
    <t>KIA-26-0855</t>
  </si>
  <si>
    <t>KIA-26-0856</t>
  </si>
  <si>
    <t>KIA-26-0857</t>
  </si>
  <si>
    <t>KIA-26-0858</t>
  </si>
  <si>
    <t>KIA-26-0859</t>
  </si>
  <si>
    <t>KIA-26-0860</t>
  </si>
  <si>
    <t>KIA-26-0861</t>
  </si>
  <si>
    <t>KIA-26-0862</t>
  </si>
  <si>
    <t>KIA-26-0863</t>
  </si>
  <si>
    <t>KIA-26-0864</t>
  </si>
  <si>
    <t>KIA-26-0865</t>
  </si>
  <si>
    <t>KIA-26-0866</t>
  </si>
  <si>
    <t>KIA-26-0867</t>
  </si>
  <si>
    <t>KIA-26-0868</t>
  </si>
  <si>
    <t>KIA-26-0869</t>
  </si>
  <si>
    <t>KIA-26-0870</t>
  </si>
  <si>
    <t>KIA-26-0871</t>
  </si>
  <si>
    <t>KIA-26-0872</t>
  </si>
  <si>
    <t>KIA-26-0873</t>
  </si>
  <si>
    <t>KIA-26-0874</t>
  </si>
  <si>
    <t>KIA-26-0875</t>
  </si>
  <si>
    <t>KIA-26-0876</t>
  </si>
  <si>
    <t>KIA-26-0877</t>
  </si>
  <si>
    <t>KIA-26-0878</t>
  </si>
  <si>
    <t>KIA-26-0879</t>
  </si>
  <si>
    <t>KIA-26-0880</t>
  </si>
  <si>
    <t>KIA-26-0881</t>
  </si>
  <si>
    <t>KIA-26-0882</t>
  </si>
  <si>
    <t>KIA-26-0883</t>
  </si>
  <si>
    <t>KIA-26-0884</t>
  </si>
  <si>
    <t>KIA-26-0885</t>
  </si>
  <si>
    <t>KIA-26-0886</t>
  </si>
  <si>
    <t>KIA-26-0887</t>
  </si>
  <si>
    <t>KIA-26-0888</t>
  </si>
  <si>
    <t>KIA-26-0889</t>
  </si>
  <si>
    <t>KIA-26-0890</t>
  </si>
  <si>
    <t>KIA-26-0891</t>
  </si>
  <si>
    <t>KIA-26-0892</t>
  </si>
  <si>
    <t>KIA-26-0893</t>
  </si>
  <si>
    <t>KIA-26-0894</t>
  </si>
  <si>
    <t>KIA-26-0895</t>
  </si>
  <si>
    <t>KIA-26-0896</t>
  </si>
  <si>
    <t>KIA-26-0897</t>
  </si>
  <si>
    <t>KIA-26-0898</t>
  </si>
  <si>
    <t>KIA-26-0899</t>
  </si>
  <si>
    <t>KIA-26-0900</t>
  </si>
  <si>
    <t>KIA-26-0901</t>
  </si>
  <si>
    <t>KIA-26-0902</t>
  </si>
  <si>
    <t>KIA-26-0903</t>
  </si>
  <si>
    <t>KIA-26-0904</t>
  </si>
  <si>
    <t>KIA-26-0905</t>
  </si>
  <si>
    <t>KIA-26-0906</t>
  </si>
  <si>
    <t>KIA-26-0907</t>
  </si>
  <si>
    <t>KIA-26-0908</t>
  </si>
  <si>
    <t>KIA-26-0909</t>
  </si>
  <si>
    <t>KIA-26-0910</t>
  </si>
  <si>
    <t>KIA-26-0911</t>
  </si>
  <si>
    <t>KIA-26-0912</t>
  </si>
  <si>
    <t>KIA-26-0913</t>
  </si>
  <si>
    <t>KIA-26-0914</t>
  </si>
  <si>
    <t>KIA-26-0915</t>
  </si>
  <si>
    <t>KIA-26-0916</t>
  </si>
  <si>
    <t>KIA-26-0917</t>
  </si>
  <si>
    <t>KIA-26-0918</t>
  </si>
  <si>
    <t>KIA-26-0919</t>
  </si>
  <si>
    <t>KIA-26-0920</t>
  </si>
  <si>
    <t>KIA-26-0921</t>
  </si>
  <si>
    <t>KIA-26-0922</t>
  </si>
  <si>
    <t>KIA-26-0923</t>
  </si>
  <si>
    <t>KIA-26-0924</t>
  </si>
  <si>
    <t>KIA-26-0925</t>
  </si>
  <si>
    <t>KIA-26-0926</t>
  </si>
  <si>
    <t>KIA-26-0927</t>
  </si>
  <si>
    <t>KIA-26-0928</t>
  </si>
  <si>
    <t>KIA-26-0929</t>
  </si>
  <si>
    <t>KIA-26-0930</t>
  </si>
  <si>
    <t>KIA-26-0931</t>
  </si>
  <si>
    <t>KIA-26-0932</t>
  </si>
  <si>
    <t>KIA-26-0933</t>
  </si>
  <si>
    <t>KIA-26-0934</t>
  </si>
  <si>
    <t>KIA-26-0935</t>
  </si>
  <si>
    <t>KIA-26-0936</t>
  </si>
  <si>
    <t>KIA-26-0937</t>
  </si>
  <si>
    <t>KIA-26-0938</t>
  </si>
  <si>
    <t>KIA-26-0939</t>
  </si>
  <si>
    <t>KIA-26-0940</t>
  </si>
  <si>
    <t>KIA-26-0941</t>
  </si>
  <si>
    <t>KIA-26-0942</t>
  </si>
  <si>
    <t>KIA-26-0943</t>
  </si>
  <si>
    <t>KIA-26-0944</t>
  </si>
  <si>
    <t>KIA-26-0945</t>
  </si>
  <si>
    <t>KIA-26-0946</t>
  </si>
  <si>
    <t>KIA-26-0947</t>
  </si>
  <si>
    <t>KIA-26-0948</t>
  </si>
  <si>
    <t>KIA-26-0949</t>
  </si>
  <si>
    <t>KIA-26-0950</t>
  </si>
  <si>
    <t>KIA-26-0951</t>
  </si>
  <si>
    <t>KIA-26-0952</t>
  </si>
  <si>
    <t>KIA-26-0953</t>
  </si>
  <si>
    <t>KIA-26-0954</t>
  </si>
  <si>
    <t>KIA-26-0955</t>
  </si>
  <si>
    <t>KIA-26-0956</t>
  </si>
  <si>
    <t>KIA-26-0957</t>
  </si>
  <si>
    <t>KIA-26-0958</t>
  </si>
  <si>
    <t>KIA-26-0959</t>
  </si>
  <si>
    <t>KIA-26-0960</t>
  </si>
  <si>
    <t>KIA-26-0961</t>
  </si>
  <si>
    <t>KIA-26-0962</t>
  </si>
  <si>
    <t>KIA-26-0963</t>
  </si>
  <si>
    <t>KIA-26-0964</t>
  </si>
  <si>
    <t>KIA-26-0965</t>
  </si>
  <si>
    <t>KIA-26-0966</t>
  </si>
  <si>
    <t>KIA-26-0967</t>
  </si>
  <si>
    <t>KIA-26-0968</t>
  </si>
  <si>
    <t>KIA-26-0969</t>
  </si>
  <si>
    <t>KIA-26-0970</t>
  </si>
  <si>
    <t>KIA-26-0971</t>
  </si>
  <si>
    <t>KIA-26-0972</t>
  </si>
  <si>
    <t>KIA-26-0973</t>
  </si>
  <si>
    <t>KIA-26-0974</t>
  </si>
  <si>
    <t>KIA-26-0975</t>
  </si>
  <si>
    <t>KIA-26-0976</t>
  </si>
  <si>
    <t>KIA-26-0977</t>
  </si>
  <si>
    <t>KIA-26-0978</t>
  </si>
  <si>
    <t>KIA-26-0979</t>
  </si>
  <si>
    <t>KIA-26-0980</t>
  </si>
  <si>
    <t>KIA-26-0981</t>
  </si>
  <si>
    <t>KIA-26-0982</t>
  </si>
  <si>
    <t>KIA-26-0983</t>
  </si>
  <si>
    <t>KIA-26-0984</t>
  </si>
  <si>
    <t>KIA-26-0985</t>
  </si>
  <si>
    <t>KIA-26-0986</t>
  </si>
  <si>
    <t>KIA-26-0987</t>
  </si>
  <si>
    <t>KIA-26-0988</t>
  </si>
  <si>
    <t>KIA-26-0989</t>
  </si>
  <si>
    <t>KIA-26-0990</t>
  </si>
  <si>
    <t>KIA-26-0991</t>
  </si>
  <si>
    <t>KIA-26-0992</t>
  </si>
  <si>
    <t>KIA-26-0993</t>
  </si>
  <si>
    <t>KIA-26-0994</t>
  </si>
  <si>
    <t>KIA-26-0995</t>
  </si>
  <si>
    <t>KIA-26-0996</t>
  </si>
  <si>
    <t>KIA-26-0997</t>
  </si>
  <si>
    <t>KIA-26-0998</t>
  </si>
  <si>
    <t>KIA-26-0999</t>
  </si>
  <si>
    <t>KIA-26-1000</t>
  </si>
  <si>
    <t>KIA-26-1001</t>
  </si>
  <si>
    <t>KIA-26-1002</t>
  </si>
  <si>
    <t>KIA-26-1003</t>
  </si>
  <si>
    <t>KIA-26-1004</t>
  </si>
  <si>
    <t>KIA-26-1005</t>
  </si>
  <si>
    <t>KIA-26-1006</t>
  </si>
  <si>
    <t>KIA-26-1007</t>
  </si>
  <si>
    <t>KIA-26-1008</t>
  </si>
  <si>
    <t>KIA-26-1009</t>
  </si>
  <si>
    <t>KIA-26-1010</t>
  </si>
  <si>
    <t>Month filter (from Dashboard)</t>
  </si>
  <si>
    <t>Total Sales (₹ Cr)</t>
  </si>
  <si>
    <t>Region filter (from Dashboard)</t>
  </si>
  <si>
    <t>Total Profit (₹ Cr)</t>
  </si>
  <si>
    <t>All tables below follow these two filters. Values are in ₹ Crore.</t>
  </si>
  <si>
    <t>Total COGS (₹ Cr)</t>
  </si>
  <si>
    <t>Total Orders</t>
  </si>
  <si>
    <t>Sales by Region &amp; Year (₹ Cr)</t>
  </si>
  <si>
    <t>Orders by Region</t>
  </si>
  <si>
    <t>Orders</t>
  </si>
  <si>
    <t>Sales by Category &amp; Year (₹ Cr)</t>
  </si>
  <si>
    <t>Sales by Model (₹ Cr)</t>
  </si>
  <si>
    <t>Top 5 models</t>
  </si>
  <si>
    <t>Sales</t>
  </si>
  <si>
    <t>Rank</t>
  </si>
  <si>
    <t>Sales (₹ Cr)</t>
  </si>
  <si>
    <t>Sales by Month &amp; Year (₹ Cr)</t>
  </si>
  <si>
    <t>raw values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</si>
  <si>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</si>
  <si>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</si>
  <si>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</si>
  <si>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</si>
  <si>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</si>
  <si>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</si>
  <si>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</si>
  <si>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</si>
  <si>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</si>
  <si>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</si>
  <si>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</si>
  <si>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</si>
  <si>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 with no sales show #N/A in white so the line chart does not drop to zero.</t>
  </si>
  <si>
    <t>Sales by State &amp; Year (₹ Cr)</t>
  </si>
  <si>
    <t>States are listed smallest to largest so the biggest bar sits on top of the chart.</t>
  </si>
  <si>
    <t>Kia Motors Sales Dashboard</t>
  </si>
  <si>
    <t>Total Sales</t>
  </si>
  <si>
    <t>All</t>
  </si>
  <si>
    <t>Total Profit</t>
  </si>
  <si>
    <t>Total COGS</t>
  </si>
  <si>
    <t>Click the yellow box (▼) in Month or Region to filter every chart. Choose All to reset.</t>
  </si>
  <si>
    <t>Sample data for the Kia Motors case study (completed orders, Jan 2025 – 24 Oct 2026). Sales, profit and COGS are in ₹ Crore. Replace the Data sheet rows with real data and everything updates.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</si>
</sst>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#,##0.00&quot; Cr&quot;"/>
    <numFmt numFmtId="179" formatCode="dd\-mmm\-yyyy"/>
  </numFmts>
  <fonts count="33">
    <font>
      <sz val="11"/>
      <color theme="1"/>
      <name val="Calibri"/>
      <charset val="134"/>
      <scheme val="minor"/>
    </font>
    <font>
      <i/>
      <sz val="9"/>
      <color rgb="FF7F7F7F"/>
      <name val="Calibri"/>
      <charset val="134"/>
      <scheme val="minor"/>
    </font>
    <font>
      <b/>
      <sz val="26"/>
      <color rgb="FF1F2D3D"/>
      <name val="Calibri"/>
      <charset val="134"/>
      <scheme val="minor"/>
    </font>
    <font>
      <b/>
      <sz val="15"/>
      <color rgb="FF1F2D3D"/>
      <name val="Calibri"/>
      <charset val="134"/>
      <scheme val="minor"/>
    </font>
    <font>
      <b/>
      <sz val="12"/>
      <color rgb="FF1F2D3D"/>
      <name val="Calibri"/>
      <charset val="134"/>
      <scheme val="minor"/>
    </font>
    <font>
      <b/>
      <sz val="11"/>
      <color rgb="FF1F2D3D"/>
      <name val="Calibri"/>
      <charset val="134"/>
      <scheme val="minor"/>
    </font>
    <font>
      <sz val="11"/>
      <color rgb="FF1F2D3D"/>
      <name val="Calibri"/>
      <charset val="134"/>
      <scheme val="minor"/>
    </font>
    <font>
      <b/>
      <sz val="13"/>
      <color rgb="FF1F2D3D"/>
      <name val="Calibri"/>
      <charset val="134"/>
      <scheme val="minor"/>
    </font>
    <font>
      <i/>
      <sz val="9"/>
      <color rgb="FF595959"/>
      <name val="Calibri"/>
      <charset val="134"/>
      <scheme val="minor"/>
    </font>
    <font>
      <b/>
      <sz val="12"/>
      <color rgb="FF2B6A8A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Tahoma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8DB5D3"/>
        <bgColor indexed="64"/>
      </patternFill>
    </fill>
    <fill>
      <patternFill patternType="solid">
        <fgColor rgb="FFC3DC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8FB9D6"/>
        <bgColor indexed="64"/>
      </patternFill>
    </fill>
    <fill>
      <patternFill patternType="solid">
        <fgColor rgb="FFE8F0F6"/>
        <bgColor indexed="64"/>
      </patternFill>
    </fill>
    <fill>
      <patternFill patternType="solid">
        <fgColor rgb="FF2B6A8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dashed">
        <color rgb="FF7F7F7F"/>
      </left>
      <right style="dashed">
        <color rgb="FF7F7F7F"/>
      </right>
      <top style="dashed">
        <color rgb="FF7F7F7F"/>
      </top>
      <bottom style="dashed">
        <color rgb="FF7F7F7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B6A8A"/>
      </left>
      <right style="thin">
        <color rgb="FF2B6A8A"/>
      </right>
      <top style="thin">
        <color rgb="FF2B6A8A"/>
      </top>
      <bottom style="thin">
        <color rgb="FF2B6A8A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24" fillId="13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indent="1"/>
    </xf>
    <xf numFmtId="0" fontId="5" fillId="6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178" fontId="7" fillId="4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top" wrapText="1"/>
    </xf>
    <xf numFmtId="3" fontId="7" fillId="4" borderId="6" xfId="0" applyNumberFormat="1" applyFont="1" applyFill="1" applyBorder="1" applyAlignment="1">
      <alignment horizontal="center" vertical="center"/>
    </xf>
    <xf numFmtId="0" fontId="8" fillId="0" borderId="0" xfId="0" applyFont="1"/>
    <xf numFmtId="0" fontId="0" fillId="0" borderId="3" xfId="0" applyBorder="1"/>
    <xf numFmtId="2" fontId="0" fillId="0" borderId="3" xfId="0" applyNumberFormat="1" applyBorder="1"/>
    <xf numFmtId="3" fontId="0" fillId="0" borderId="3" xfId="0" applyNumberFormat="1" applyBorder="1"/>
    <xf numFmtId="0" fontId="9" fillId="0" borderId="0" xfId="0" applyFont="1"/>
    <xf numFmtId="0" fontId="10" fillId="8" borderId="3" xfId="0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1" fillId="9" borderId="7" xfId="0" applyFont="1" applyFill="1" applyBorder="1" applyAlignment="1">
      <alignment horizontal="center" vertical="center" wrapText="1"/>
    </xf>
    <xf numFmtId="179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FFFFFF"/>
      </font>
    </dxf>
    <dxf>
      <font>
        <color rgb="FF8C8C8C"/>
      </font>
      <fill>
        <patternFill patternType="solid">
          <bgColor rgb="FFEDEDE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200" b="1" baseline="0">
                <a:solidFill>
                  <a:srgbClr val="595959"/>
                </a:solidFill>
                <a:latin typeface="Calibri" panose="020F0502020204030204"/>
              </a:rPr>
              <a:t>Sales by Region &amp; Year (₹ Cr)</a:t>
            </a:r>
            <a:endParaRPr lang="en-US" sz="1200" b="1" baseline="0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2025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F8FB0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pivot_table!$A$8:$A$11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pivot_table!$B$8:$B$11</c:f>
              <c:numCache>
                <c:formatCode>0.00</c:formatCode>
                <c:ptCount val="4"/>
                <c:pt idx="0">
                  <c:v>16.2592</c:v>
                </c:pt>
                <c:pt idx="1">
                  <c:v>17.5985</c:v>
                </c:pt>
                <c:pt idx="2">
                  <c:v>3.0698</c:v>
                </c:pt>
                <c:pt idx="3">
                  <c:v>34.2377</c:v>
                </c:pt>
              </c:numCache>
            </c:numRef>
          </c:val>
        </c:ser>
        <c:ser>
          <c:idx val="1"/>
          <c:order val="1"/>
          <c:tx>
            <c:strRef>
              <c:f>2026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A8C93F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pivot_table!$A$8:$A$11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pivot_table!$C$8:$C$11</c:f>
              <c:numCache>
                <c:formatCode>0.00</c:formatCode>
                <c:ptCount val="4"/>
                <c:pt idx="0">
                  <c:v>21.1287</c:v>
                </c:pt>
                <c:pt idx="1">
                  <c:v>25.5386</c:v>
                </c:pt>
                <c:pt idx="2">
                  <c:v>7.6811</c:v>
                </c:pt>
                <c:pt idx="3">
                  <c:v>36.8122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w="9525" cap="flat" cmpd="sng" algn="ctr">
            <a:solidFill>
              <a:srgbClr val="D9D9D9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7E7"/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  <c:spPr>
        <a:noFill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d5e031-6994-4dc7-8b38-718545b300c9}"/>
      </c:ext>
    </c:extLst>
  </c:chart>
  <c:spPr>
    <a:solidFill>
      <a:srgbClr val="FFFFFF"/>
    </a:solidFill>
    <a:ln w="9525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200" b="1" baseline="0">
                <a:solidFill>
                  <a:srgbClr val="595959"/>
                </a:solidFill>
                <a:latin typeface="Calibri" panose="020F0502020204030204"/>
              </a:rPr>
              <a:t>Sales by Category (₹ Cr)</a:t>
            </a:r>
            <a:endParaRPr lang="en-US" sz="1200" b="1" baseline="0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2025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F8FB0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pivot_table!$A$16:$A$19</c:f>
              <c:strCache>
                <c:ptCount val="4"/>
                <c:pt idx="0">
                  <c:v>Compact SUV</c:v>
                </c:pt>
                <c:pt idx="1">
                  <c:v>Mid-size SUV</c:v>
                </c:pt>
                <c:pt idx="2">
                  <c:v>MPV</c:v>
                </c:pt>
                <c:pt idx="3">
                  <c:v>Premium &amp; EV</c:v>
                </c:pt>
              </c:strCache>
            </c:strRef>
          </c:cat>
          <c:val>
            <c:numRef>
              <c:f>pivot_table!$B$16:$B$19</c:f>
              <c:numCache>
                <c:formatCode>0.00</c:formatCode>
                <c:ptCount val="4"/>
                <c:pt idx="0">
                  <c:v>20.3117</c:v>
                </c:pt>
                <c:pt idx="1">
                  <c:v>16.2303</c:v>
                </c:pt>
                <c:pt idx="2">
                  <c:v>15.4114</c:v>
                </c:pt>
                <c:pt idx="3">
                  <c:v>19.2118</c:v>
                </c:pt>
              </c:numCache>
            </c:numRef>
          </c:val>
        </c:ser>
        <c:ser>
          <c:idx val="1"/>
          <c:order val="1"/>
          <c:tx>
            <c:strRef>
              <c:f>2026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A8C93F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pivot_table!$A$16:$A$19</c:f>
              <c:strCache>
                <c:ptCount val="4"/>
                <c:pt idx="0">
                  <c:v>Compact SUV</c:v>
                </c:pt>
                <c:pt idx="1">
                  <c:v>Mid-size SUV</c:v>
                </c:pt>
                <c:pt idx="2">
                  <c:v>MPV</c:v>
                </c:pt>
                <c:pt idx="3">
                  <c:v>Premium &amp; EV</c:v>
                </c:pt>
              </c:strCache>
            </c:strRef>
          </c:cat>
          <c:val>
            <c:numRef>
              <c:f>pivot_table!$C$16:$C$19</c:f>
              <c:numCache>
                <c:formatCode>0.00</c:formatCode>
                <c:ptCount val="4"/>
                <c:pt idx="0">
                  <c:v>20.9891</c:v>
                </c:pt>
                <c:pt idx="1">
                  <c:v>20.929</c:v>
                </c:pt>
                <c:pt idx="2">
                  <c:v>19.1575</c:v>
                </c:pt>
                <c:pt idx="3">
                  <c:v>30.085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w="9525" cap="flat" cmpd="sng" algn="ctr">
            <a:solidFill>
              <a:srgbClr val="D9D9D9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7E7"/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020001"/>
        <c:crosses val="autoZero"/>
        <c:crossBetween val="between"/>
      </c:valAx>
      <c:spPr>
        <a:noFill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8ac1e0-51f9-4b12-b069-e5e2c284f6d6}"/>
      </c:ext>
    </c:extLst>
  </c:chart>
  <c:spPr>
    <a:solidFill>
      <a:srgbClr val="FFFFFF"/>
    </a:solidFill>
    <a:ln w="9525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200" b="1" baseline="0">
                <a:solidFill>
                  <a:srgbClr val="595959"/>
                </a:solidFill>
                <a:latin typeface="Calibri" panose="020F0502020204030204"/>
              </a:rPr>
              <a:t>Sales by Top 5 Model</a:t>
            </a:r>
            <a:endParaRPr lang="en-US" sz="1200" b="1" baseline="0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"Top 5 models"</c:f>
              <c:strCache>
                <c:ptCount val="1"/>
                <c:pt idx="0">
                  <c:v>Top 5 models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1F5C7A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3F8FB0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7FB2CC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B9D3E2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bubble3D val="0"/>
            <c:spPr>
              <a:solidFill>
                <a:srgbClr val="DCE8EF"/>
              </a:solidFill>
              <a:ln w="19050">
                <a:solidFill>
                  <a:srgbClr val="FFFFFF"/>
                </a:solidFill>
              </a:ln>
            </c:spPr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pivot_table!$E$24:$E$28</c:f>
              <c:strCache>
                <c:ptCount val="5"/>
                <c:pt idx="0">
                  <c:v>Seltos HTX</c:v>
                </c:pt>
                <c:pt idx="1">
                  <c:v>Seltos GTX</c:v>
                </c:pt>
                <c:pt idx="2">
                  <c:v>Carens Clavis</c:v>
                </c:pt>
                <c:pt idx="3">
                  <c:v>Carens Luxury</c:v>
                </c:pt>
                <c:pt idx="4">
                  <c:v>Sonet HTX</c:v>
                </c:pt>
              </c:strCache>
            </c:strRef>
          </c:cat>
          <c:val>
            <c:numRef>
              <c:f>pivot_table!$F$24:$F$28</c:f>
              <c:numCache>
                <c:formatCode>0.00</c:formatCode>
                <c:ptCount val="5"/>
                <c:pt idx="0">
                  <c:v>19.0557</c:v>
                </c:pt>
                <c:pt idx="1">
                  <c:v>18.1036</c:v>
                </c:pt>
                <c:pt idx="2">
                  <c:v>17.2979</c:v>
                </c:pt>
                <c:pt idx="3">
                  <c:v>17.271</c:v>
                </c:pt>
                <c:pt idx="4">
                  <c:v>15.9547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0"/>
      </c:pieChart>
      <c:spPr>
        <a:noFill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effea2-c3d6-4b8c-8913-c90b56381ce3}"/>
      </c:ext>
    </c:extLst>
  </c:chart>
  <c:spPr>
    <a:solidFill>
      <a:srgbClr val="FFFFFF"/>
    </a:solidFill>
    <a:ln w="9525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200" b="1" baseline="0">
                <a:solidFill>
                  <a:srgbClr val="595959"/>
                </a:solidFill>
                <a:latin typeface="Calibri" panose="020F0502020204030204"/>
              </a:rPr>
              <a:t>Sales by Year &amp; Month (₹ Cr)</a:t>
            </a:r>
            <a:endParaRPr lang="en-US" sz="1200" b="1" baseline="0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2025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 cmpd="sng" algn="ctr">
              <a:solidFill>
                <a:srgbClr val="3F8F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pivot_table!$A$40:$A$51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pivot_table!$B$40:$B$51</c:f>
              <c:numCache>
                <c:formatCode>0.00</c:formatCode>
                <c:ptCount val="12"/>
                <c:pt idx="0">
                  <c:v>5.9588</c:v>
                </c:pt>
                <c:pt idx="1">
                  <c:v>3.0921</c:v>
                </c:pt>
                <c:pt idx="2">
                  <c:v>4.5562</c:v>
                </c:pt>
                <c:pt idx="3">
                  <c:v>6.7757</c:v>
                </c:pt>
                <c:pt idx="4">
                  <c:v>6.3504</c:v>
                </c:pt>
                <c:pt idx="5">
                  <c:v>3.8131</c:v>
                </c:pt>
                <c:pt idx="6">
                  <c:v>5.2811</c:v>
                </c:pt>
                <c:pt idx="7">
                  <c:v>4.3944</c:v>
                </c:pt>
                <c:pt idx="8">
                  <c:v>7.1542</c:v>
                </c:pt>
                <c:pt idx="9">
                  <c:v>9.4066</c:v>
                </c:pt>
                <c:pt idx="10">
                  <c:v>6.8589</c:v>
                </c:pt>
                <c:pt idx="11">
                  <c:v>7.5237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2026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 cmpd="sng" algn="ctr">
              <a:solidFill>
                <a:srgbClr val="A8C93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pivot_table!$A$40:$A$51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pivot_table!$C$40:$C$51</c:f>
              <c:numCache>
                <c:formatCode>0.00</c:formatCode>
                <c:ptCount val="12"/>
                <c:pt idx="0">
                  <c:v>5.898</c:v>
                </c:pt>
                <c:pt idx="1">
                  <c:v>9.6693</c:v>
                </c:pt>
                <c:pt idx="2">
                  <c:v>13.079</c:v>
                </c:pt>
                <c:pt idx="3">
                  <c:v>8.1507</c:v>
                </c:pt>
                <c:pt idx="4">
                  <c:v>5.522</c:v>
                </c:pt>
                <c:pt idx="5">
                  <c:v>8.8917</c:v>
                </c:pt>
                <c:pt idx="6">
                  <c:v>10.4754</c:v>
                </c:pt>
                <c:pt idx="7">
                  <c:v>11.1731</c:v>
                </c:pt>
                <c:pt idx="8">
                  <c:v>9.2041</c:v>
                </c:pt>
                <c:pt idx="9">
                  <c:v>9.0973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w="9525" cap="flat" cmpd="sng" algn="ctr">
            <a:solidFill>
              <a:srgbClr val="D9D9D9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7E7"/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040001"/>
        <c:crosses val="autoZero"/>
        <c:crossBetween val="between"/>
      </c:valAx>
      <c:spPr>
        <a:noFill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54b457-e18e-4c53-b3c6-e19542e09f60}"/>
      </c:ext>
    </c:extLst>
  </c:chart>
  <c:spPr>
    <a:solidFill>
      <a:srgbClr val="FFFFFF"/>
    </a:solidFill>
    <a:ln w="9525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200" b="1" baseline="0">
                <a:solidFill>
                  <a:srgbClr val="595959"/>
                </a:solidFill>
                <a:latin typeface="Calibri" panose="020F0502020204030204"/>
              </a:rPr>
              <a:t>Sales by State (₹ Cr)</a:t>
            </a:r>
            <a:endParaRPr lang="en-US" sz="1200" b="1" baseline="0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2025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F8FB0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pivot_table!$A$56:$A$65</c:f>
              <c:strCache>
                <c:ptCount val="10"/>
                <c:pt idx="0">
                  <c:v>Odisha</c:v>
                </c:pt>
                <c:pt idx="1">
                  <c:v>Rajasthan</c:v>
                </c:pt>
                <c:pt idx="2">
                  <c:v>West Bengal</c:v>
                </c:pt>
                <c:pt idx="3">
                  <c:v>Uttar Pradesh</c:v>
                </c:pt>
                <c:pt idx="4">
                  <c:v>Telangana</c:v>
                </c:pt>
                <c:pt idx="5">
                  <c:v>Tamil Nadu</c:v>
                </c:pt>
                <c:pt idx="6">
                  <c:v>Delhi</c:v>
                </c:pt>
                <c:pt idx="7">
                  <c:v>Karnataka</c:v>
                </c:pt>
                <c:pt idx="8">
                  <c:v>Gujarat</c:v>
                </c:pt>
                <c:pt idx="9">
                  <c:v>Maharashtra</c:v>
                </c:pt>
              </c:strCache>
            </c:strRef>
          </c:cat>
          <c:val>
            <c:numRef>
              <c:f>pivot_table!$B$56:$B$65</c:f>
              <c:numCache>
                <c:formatCode>0.00</c:formatCode>
                <c:ptCount val="10"/>
                <c:pt idx="0">
                  <c:v>1.3223</c:v>
                </c:pt>
                <c:pt idx="1">
                  <c:v>1.9824</c:v>
                </c:pt>
                <c:pt idx="2">
                  <c:v>1.7475</c:v>
                </c:pt>
                <c:pt idx="3">
                  <c:v>4.0174</c:v>
                </c:pt>
                <c:pt idx="4">
                  <c:v>3.5606</c:v>
                </c:pt>
                <c:pt idx="5">
                  <c:v>4.295</c:v>
                </c:pt>
                <c:pt idx="6">
                  <c:v>10.2594</c:v>
                </c:pt>
                <c:pt idx="7">
                  <c:v>9.7429</c:v>
                </c:pt>
                <c:pt idx="8">
                  <c:v>16.1195</c:v>
                </c:pt>
                <c:pt idx="9">
                  <c:v>18.1182</c:v>
                </c:pt>
              </c:numCache>
            </c:numRef>
          </c:val>
        </c:ser>
        <c:ser>
          <c:idx val="1"/>
          <c:order val="1"/>
          <c:tx>
            <c:strRef>
              <c:f>2026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A8C93F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pivot_table!$A$56:$A$65</c:f>
              <c:strCache>
                <c:ptCount val="10"/>
                <c:pt idx="0">
                  <c:v>Odisha</c:v>
                </c:pt>
                <c:pt idx="1">
                  <c:v>Rajasthan</c:v>
                </c:pt>
                <c:pt idx="2">
                  <c:v>West Bengal</c:v>
                </c:pt>
                <c:pt idx="3">
                  <c:v>Uttar Pradesh</c:v>
                </c:pt>
                <c:pt idx="4">
                  <c:v>Telangana</c:v>
                </c:pt>
                <c:pt idx="5">
                  <c:v>Tamil Nadu</c:v>
                </c:pt>
                <c:pt idx="6">
                  <c:v>Delhi</c:v>
                </c:pt>
                <c:pt idx="7">
                  <c:v>Karnataka</c:v>
                </c:pt>
                <c:pt idx="8">
                  <c:v>Gujarat</c:v>
                </c:pt>
                <c:pt idx="9">
                  <c:v>Maharashtra</c:v>
                </c:pt>
              </c:strCache>
            </c:strRef>
          </c:cat>
          <c:val>
            <c:numRef>
              <c:f>pivot_table!$C$56:$C$65</c:f>
              <c:numCache>
                <c:formatCode>0.00</c:formatCode>
                <c:ptCount val="10"/>
                <c:pt idx="0">
                  <c:v>1.8774</c:v>
                </c:pt>
                <c:pt idx="1">
                  <c:v>5.1816</c:v>
                </c:pt>
                <c:pt idx="2">
                  <c:v>5.8037</c:v>
                </c:pt>
                <c:pt idx="3">
                  <c:v>4.5063</c:v>
                </c:pt>
                <c:pt idx="4">
                  <c:v>6.1602</c:v>
                </c:pt>
                <c:pt idx="5">
                  <c:v>6.0842</c:v>
                </c:pt>
                <c:pt idx="6">
                  <c:v>11.4408</c:v>
                </c:pt>
                <c:pt idx="7">
                  <c:v>13.2942</c:v>
                </c:pt>
                <c:pt idx="8">
                  <c:v>17.4572</c:v>
                </c:pt>
                <c:pt idx="9">
                  <c:v>19.355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50001"/>
        <c:axId val="50050002"/>
      </c:barChart>
      <c:catAx>
        <c:axId val="5005000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ln w="9525" cap="flat" cmpd="sng" algn="ctr">
            <a:solidFill>
              <a:srgbClr val="D9D9D9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7E7E7"/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050001"/>
        <c:crosses val="autoZero"/>
        <c:crossBetween val="between"/>
      </c:valAx>
      <c:spPr>
        <a:noFill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c20647-fb8c-4dab-bc3e-b38a65f42abb}"/>
      </c:ext>
    </c:extLst>
  </c:chart>
  <c:spPr>
    <a:solidFill>
      <a:srgbClr val="FFFFFF"/>
    </a:solidFill>
    <a:ln w="9525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200" b="1" baseline="0">
                <a:solidFill>
                  <a:srgbClr val="595959"/>
                </a:solidFill>
                <a:latin typeface="Calibri" panose="020F0502020204030204"/>
              </a:rPr>
              <a:t>Orders Quantity by Region</a:t>
            </a:r>
            <a:endParaRPr lang="en-US" sz="1200" b="1" baseline="0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F8FB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pivot_table!$E$8:$E$11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pivot_table!$F$8:$F$11</c:f>
              <c:numCache>
                <c:formatCode>#,##0</c:formatCode>
                <c:ptCount val="4"/>
                <c:pt idx="0">
                  <c:v>222</c:v>
                </c:pt>
                <c:pt idx="1">
                  <c:v>276</c:v>
                </c:pt>
                <c:pt idx="2">
                  <c:v>70</c:v>
                </c:pt>
                <c:pt idx="3">
                  <c:v>442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w="9525" cap="flat" cmpd="sng" algn="ctr">
            <a:solidFill>
              <a:srgbClr val="D9D9D9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60001"/>
        <c:crosses val="autoZero"/>
        <c:crossBetween val="between"/>
      </c:valAx>
      <c:spPr>
        <a:noFill/>
      </c:spPr>
    </c:plotArea>
    <c:plotVisOnly val="1"/>
    <c:dispBlanksAs val="gap"/>
    <c:showDLblsOverMax val="0"/>
    <c:extLst>
      <c:ext uri="{0b15fc19-7d7d-44ad-8c2d-2c3a37ce22c3}">
        <chartProps xmlns="https://web.wps.cn/et/2018/main" chartId="{e21950c0-fa01-4846-a216-414b91237046}"/>
      </c:ext>
    </c:extLst>
  </c:chart>
  <c:spPr>
    <a:solidFill>
      <a:srgbClr val="FFFFFF"/>
    </a:solidFill>
    <a:ln w="9525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38100</xdr:colOff>
      <xdr:row>4</xdr:row>
      <xdr:rowOff>19050</xdr:rowOff>
    </xdr:from>
    <xdr:to>
      <xdr:col>8</xdr:col>
      <xdr:colOff>542925</xdr:colOff>
      <xdr:row>15</xdr:row>
      <xdr:rowOff>171450</xdr:rowOff>
    </xdr:to>
    <xdr:graphicFrame>
      <xdr:nvGraphicFramePr>
        <xdr:cNvPr id="2" name="Chart 1"/>
        <xdr:cNvGraphicFramePr/>
      </xdr:nvGraphicFramePr>
      <xdr:xfrm>
        <a:off x="1381125" y="1057275"/>
        <a:ext cx="3409950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4</xdr:row>
      <xdr:rowOff>19050</xdr:rowOff>
    </xdr:from>
    <xdr:to>
      <xdr:col>14</xdr:col>
      <xdr:colOff>542925</xdr:colOff>
      <xdr:row>15</xdr:row>
      <xdr:rowOff>171450</xdr:rowOff>
    </xdr:to>
    <xdr:graphicFrame>
      <xdr:nvGraphicFramePr>
        <xdr:cNvPr id="3" name="Chart 2"/>
        <xdr:cNvGraphicFramePr/>
      </xdr:nvGraphicFramePr>
      <xdr:xfrm>
        <a:off x="4867275" y="1057275"/>
        <a:ext cx="3409950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38100</xdr:colOff>
      <xdr:row>4</xdr:row>
      <xdr:rowOff>19050</xdr:rowOff>
    </xdr:from>
    <xdr:to>
      <xdr:col>20</xdr:col>
      <xdr:colOff>542925</xdr:colOff>
      <xdr:row>15</xdr:row>
      <xdr:rowOff>171450</xdr:rowOff>
    </xdr:to>
    <xdr:graphicFrame>
      <xdr:nvGraphicFramePr>
        <xdr:cNvPr id="4" name="Chart 3"/>
        <xdr:cNvGraphicFramePr/>
      </xdr:nvGraphicFramePr>
      <xdr:xfrm>
        <a:off x="8353425" y="1057275"/>
        <a:ext cx="3409950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38100</xdr:colOff>
      <xdr:row>17</xdr:row>
      <xdr:rowOff>19050</xdr:rowOff>
    </xdr:from>
    <xdr:to>
      <xdr:col>8</xdr:col>
      <xdr:colOff>542925</xdr:colOff>
      <xdr:row>30</xdr:row>
      <xdr:rowOff>171450</xdr:rowOff>
    </xdr:to>
    <xdr:graphicFrame>
      <xdr:nvGraphicFramePr>
        <xdr:cNvPr id="5" name="Chart 4"/>
        <xdr:cNvGraphicFramePr/>
      </xdr:nvGraphicFramePr>
      <xdr:xfrm>
        <a:off x="1381125" y="3667125"/>
        <a:ext cx="340995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38100</xdr:colOff>
      <xdr:row>17</xdr:row>
      <xdr:rowOff>19050</xdr:rowOff>
    </xdr:from>
    <xdr:to>
      <xdr:col>14</xdr:col>
      <xdr:colOff>542925</xdr:colOff>
      <xdr:row>30</xdr:row>
      <xdr:rowOff>171450</xdr:rowOff>
    </xdr:to>
    <xdr:graphicFrame>
      <xdr:nvGraphicFramePr>
        <xdr:cNvPr id="6" name="Chart 5"/>
        <xdr:cNvGraphicFramePr/>
      </xdr:nvGraphicFramePr>
      <xdr:xfrm>
        <a:off x="4867275" y="3667125"/>
        <a:ext cx="340995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38100</xdr:colOff>
      <xdr:row>17</xdr:row>
      <xdr:rowOff>19050</xdr:rowOff>
    </xdr:from>
    <xdr:to>
      <xdr:col>20</xdr:col>
      <xdr:colOff>542925</xdr:colOff>
      <xdr:row>30</xdr:row>
      <xdr:rowOff>171450</xdr:rowOff>
    </xdr:to>
    <xdr:graphicFrame>
      <xdr:nvGraphicFramePr>
        <xdr:cNvPr id="7" name="Chart 6"/>
        <xdr:cNvGraphicFramePr/>
      </xdr:nvGraphicFramePr>
      <xdr:xfrm>
        <a:off x="8353425" y="3667125"/>
        <a:ext cx="340995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4.7142857142857" customWidth="1"/>
    <col min="2" max="2" width="13.7142857142857" customWidth="1"/>
    <col min="3" max="3" width="7.71428571428571" customWidth="1"/>
    <col min="4" max="4" width="8.71428571428571" customWidth="1"/>
    <col min="5" max="5" width="9.71428571428571" customWidth="1"/>
    <col min="6" max="6" width="15.7142857142857" customWidth="1"/>
    <col min="7" max="7" width="13.7142857142857" customWidth="1"/>
    <col min="8" max="8" width="24.7142857142857" customWidth="1"/>
    <col min="9" max="9" width="19.7142857142857" customWidth="1"/>
    <col min="10" max="10" width="14.7142857142857" customWidth="1"/>
    <col min="11" max="11" width="11.7142857142857" customWidth="1"/>
    <col min="12" max="12" width="9.71428571428571" customWidth="1"/>
    <col min="13" max="15" width="14.7142857142857" customWidth="1"/>
    <col min="16" max="16" width="15.7142857142857" customWidth="1"/>
  </cols>
  <sheetData>
    <row r="1" ht="30" customHeight="1" spans="1:16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6">
      <c r="A2" t="s">
        <v>16</v>
      </c>
      <c r="B2" s="18">
        <v>45659</v>
      </c>
      <c r="C2" s="19">
        <f t="shared" ref="C2:C65" si="0">YEAR(B2)</f>
        <v>2025</v>
      </c>
      <c r="D2" s="19" t="str">
        <f t="shared" ref="D2:D65" si="1">CHOOSE(MONTH(B2),"Jan","Feb","Mar","Apr","May","Jun","Jul","Aug","Sep","Oct","Nov","Dec")</f>
        <v>Jan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9">
        <v>1</v>
      </c>
      <c r="M2" s="20">
        <v>1913000</v>
      </c>
      <c r="N2" s="20">
        <v>1672000</v>
      </c>
      <c r="O2" s="20">
        <f t="shared" ref="O2:O65" si="2">M2-N2</f>
        <v>241000</v>
      </c>
      <c r="P2" t="s">
        <v>24</v>
      </c>
    </row>
    <row r="3" spans="1:16">
      <c r="A3" t="s">
        <v>25</v>
      </c>
      <c r="B3" s="18">
        <v>45659</v>
      </c>
      <c r="C3" s="19">
        <f t="shared" si="0"/>
        <v>2025</v>
      </c>
      <c r="D3" s="19" t="str">
        <f t="shared" si="1"/>
        <v>Jan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22</v>
      </c>
      <c r="K3" t="s">
        <v>23</v>
      </c>
      <c r="L3" s="19">
        <v>1</v>
      </c>
      <c r="M3" s="20">
        <v>1803000</v>
      </c>
      <c r="N3" s="20">
        <v>1443900</v>
      </c>
      <c r="O3" s="20">
        <f t="shared" si="2"/>
        <v>359100</v>
      </c>
      <c r="P3" t="s">
        <v>31</v>
      </c>
    </row>
    <row r="4" spans="1:16">
      <c r="A4" t="s">
        <v>32</v>
      </c>
      <c r="B4" s="18">
        <v>45661</v>
      </c>
      <c r="C4" s="19">
        <f t="shared" si="0"/>
        <v>2025</v>
      </c>
      <c r="D4" s="19" t="str">
        <f t="shared" si="1"/>
        <v>Jan</v>
      </c>
      <c r="E4" t="s">
        <v>33</v>
      </c>
      <c r="F4" t="s">
        <v>34</v>
      </c>
      <c r="G4" t="s">
        <v>34</v>
      </c>
      <c r="H4" t="s">
        <v>35</v>
      </c>
      <c r="I4" t="s">
        <v>36</v>
      </c>
      <c r="J4" t="s">
        <v>22</v>
      </c>
      <c r="K4" t="s">
        <v>23</v>
      </c>
      <c r="L4" s="19">
        <v>1</v>
      </c>
      <c r="M4" s="20">
        <v>12939000</v>
      </c>
      <c r="N4" s="20">
        <v>10359300</v>
      </c>
      <c r="O4" s="20">
        <f t="shared" si="2"/>
        <v>2579700</v>
      </c>
      <c r="P4" t="s">
        <v>37</v>
      </c>
    </row>
    <row r="5" spans="1:16">
      <c r="A5" t="s">
        <v>38</v>
      </c>
      <c r="B5" s="18">
        <v>45661</v>
      </c>
      <c r="C5" s="19">
        <f t="shared" si="0"/>
        <v>2025</v>
      </c>
      <c r="D5" s="19" t="str">
        <f t="shared" si="1"/>
        <v>Jan</v>
      </c>
      <c r="E5" t="s">
        <v>26</v>
      </c>
      <c r="F5" t="s">
        <v>27</v>
      </c>
      <c r="G5" t="s">
        <v>28</v>
      </c>
      <c r="H5" t="s">
        <v>39</v>
      </c>
      <c r="I5" t="s">
        <v>40</v>
      </c>
      <c r="J5" t="s">
        <v>41</v>
      </c>
      <c r="K5" t="s">
        <v>42</v>
      </c>
      <c r="L5" s="19">
        <v>1</v>
      </c>
      <c r="M5" s="20">
        <v>1683000</v>
      </c>
      <c r="N5" s="20">
        <v>1391000</v>
      </c>
      <c r="O5" s="20">
        <f t="shared" si="2"/>
        <v>292000</v>
      </c>
      <c r="P5" t="s">
        <v>31</v>
      </c>
    </row>
    <row r="6" spans="1:16">
      <c r="A6" t="s">
        <v>43</v>
      </c>
      <c r="B6" s="18">
        <v>45664</v>
      </c>
      <c r="C6" s="19">
        <f t="shared" si="0"/>
        <v>2025</v>
      </c>
      <c r="D6" s="19" t="str">
        <f t="shared" si="1"/>
        <v>Jan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42</v>
      </c>
      <c r="L6" s="19">
        <v>1</v>
      </c>
      <c r="M6" s="20">
        <v>1283000</v>
      </c>
      <c r="N6" s="20">
        <v>1036500</v>
      </c>
      <c r="O6" s="20">
        <f t="shared" si="2"/>
        <v>246500</v>
      </c>
      <c r="P6" t="s">
        <v>37</v>
      </c>
    </row>
    <row r="7" spans="1:16">
      <c r="A7" t="s">
        <v>50</v>
      </c>
      <c r="B7" s="18">
        <v>45666</v>
      </c>
      <c r="C7" s="19">
        <f t="shared" si="0"/>
        <v>2025</v>
      </c>
      <c r="D7" s="19" t="str">
        <f t="shared" si="1"/>
        <v>Jan</v>
      </c>
      <c r="E7" t="s">
        <v>17</v>
      </c>
      <c r="F7" t="s">
        <v>51</v>
      </c>
      <c r="G7" t="s">
        <v>52</v>
      </c>
      <c r="H7" t="s">
        <v>53</v>
      </c>
      <c r="I7" t="s">
        <v>30</v>
      </c>
      <c r="J7" t="s">
        <v>22</v>
      </c>
      <c r="K7" t="s">
        <v>23</v>
      </c>
      <c r="L7" s="19">
        <v>1</v>
      </c>
      <c r="M7" s="20">
        <v>1788000</v>
      </c>
      <c r="N7" s="20">
        <v>1536400</v>
      </c>
      <c r="O7" s="20">
        <f t="shared" si="2"/>
        <v>251600</v>
      </c>
      <c r="P7" t="s">
        <v>54</v>
      </c>
    </row>
    <row r="8" spans="1:16">
      <c r="A8" t="s">
        <v>55</v>
      </c>
      <c r="B8" s="18">
        <v>45668</v>
      </c>
      <c r="C8" s="19">
        <f t="shared" si="0"/>
        <v>2025</v>
      </c>
      <c r="D8" s="19" t="str">
        <f t="shared" si="1"/>
        <v>Jan</v>
      </c>
      <c r="E8" t="s">
        <v>26</v>
      </c>
      <c r="F8" t="s">
        <v>27</v>
      </c>
      <c r="G8" t="s">
        <v>28</v>
      </c>
      <c r="H8" t="s">
        <v>29</v>
      </c>
      <c r="I8" t="s">
        <v>56</v>
      </c>
      <c r="J8" t="s">
        <v>57</v>
      </c>
      <c r="K8" t="s">
        <v>58</v>
      </c>
      <c r="L8" s="19">
        <v>1</v>
      </c>
      <c r="M8" s="20">
        <v>1244000</v>
      </c>
      <c r="N8" s="20">
        <v>1026300</v>
      </c>
      <c r="O8" s="20">
        <f t="shared" si="2"/>
        <v>217700</v>
      </c>
      <c r="P8" t="s">
        <v>24</v>
      </c>
    </row>
    <row r="9" spans="1:16">
      <c r="A9" t="s">
        <v>59</v>
      </c>
      <c r="B9" s="18">
        <v>45669</v>
      </c>
      <c r="C9" s="19">
        <f t="shared" si="0"/>
        <v>2025</v>
      </c>
      <c r="D9" s="19" t="str">
        <f t="shared" si="1"/>
        <v>Jan</v>
      </c>
      <c r="E9" t="s">
        <v>17</v>
      </c>
      <c r="F9" t="s">
        <v>18</v>
      </c>
      <c r="G9" t="s">
        <v>60</v>
      </c>
      <c r="H9" t="s">
        <v>61</v>
      </c>
      <c r="I9" t="s">
        <v>56</v>
      </c>
      <c r="J9" t="s">
        <v>57</v>
      </c>
      <c r="K9" t="s">
        <v>58</v>
      </c>
      <c r="L9" s="19">
        <v>1</v>
      </c>
      <c r="M9" s="20">
        <v>1251000</v>
      </c>
      <c r="N9" s="20">
        <v>1068500</v>
      </c>
      <c r="O9" s="20">
        <f t="shared" si="2"/>
        <v>182500</v>
      </c>
      <c r="P9" t="s">
        <v>31</v>
      </c>
    </row>
    <row r="10" spans="1:16">
      <c r="A10" t="s">
        <v>62</v>
      </c>
      <c r="B10" s="18">
        <v>45671</v>
      </c>
      <c r="C10" s="19">
        <f t="shared" si="0"/>
        <v>2025</v>
      </c>
      <c r="D10" s="19" t="str">
        <f t="shared" si="1"/>
        <v>Jan</v>
      </c>
      <c r="E10" t="s">
        <v>17</v>
      </c>
      <c r="F10" t="s">
        <v>18</v>
      </c>
      <c r="G10" t="s">
        <v>19</v>
      </c>
      <c r="H10" t="s">
        <v>20</v>
      </c>
      <c r="I10" t="s">
        <v>63</v>
      </c>
      <c r="J10" t="s">
        <v>41</v>
      </c>
      <c r="K10" t="s">
        <v>58</v>
      </c>
      <c r="L10" s="19">
        <v>1</v>
      </c>
      <c r="M10" s="20">
        <v>1360000</v>
      </c>
      <c r="N10" s="20">
        <v>1135400</v>
      </c>
      <c r="O10" s="20">
        <f t="shared" si="2"/>
        <v>224600</v>
      </c>
      <c r="P10" t="s">
        <v>31</v>
      </c>
    </row>
    <row r="11" spans="1:16">
      <c r="A11" t="s">
        <v>64</v>
      </c>
      <c r="B11" s="18">
        <v>45672</v>
      </c>
      <c r="C11" s="19">
        <f t="shared" si="0"/>
        <v>2025</v>
      </c>
      <c r="D11" s="19" t="str">
        <f t="shared" si="1"/>
        <v>Jan</v>
      </c>
      <c r="E11" t="s">
        <v>26</v>
      </c>
      <c r="F11" t="s">
        <v>65</v>
      </c>
      <c r="G11" t="s">
        <v>66</v>
      </c>
      <c r="H11" t="s">
        <v>67</v>
      </c>
      <c r="I11" t="s">
        <v>68</v>
      </c>
      <c r="J11" t="s">
        <v>49</v>
      </c>
      <c r="K11" t="s">
        <v>58</v>
      </c>
      <c r="L11" s="19">
        <v>1</v>
      </c>
      <c r="M11" s="20">
        <v>930000</v>
      </c>
      <c r="N11" s="20">
        <v>816900</v>
      </c>
      <c r="O11" s="20">
        <f t="shared" si="2"/>
        <v>113100</v>
      </c>
      <c r="P11" t="s">
        <v>24</v>
      </c>
    </row>
    <row r="12" spans="1:16">
      <c r="A12" t="s">
        <v>69</v>
      </c>
      <c r="B12" s="18">
        <v>45672</v>
      </c>
      <c r="C12" s="19">
        <f t="shared" si="0"/>
        <v>2025</v>
      </c>
      <c r="D12" s="19" t="str">
        <f t="shared" si="1"/>
        <v>Jan</v>
      </c>
      <c r="E12" t="s">
        <v>17</v>
      </c>
      <c r="F12" t="s">
        <v>51</v>
      </c>
      <c r="G12" t="s">
        <v>52</v>
      </c>
      <c r="H12" t="s">
        <v>70</v>
      </c>
      <c r="I12" t="s">
        <v>71</v>
      </c>
      <c r="J12" t="s">
        <v>49</v>
      </c>
      <c r="K12" t="s">
        <v>58</v>
      </c>
      <c r="L12" s="19">
        <v>1</v>
      </c>
      <c r="M12" s="20">
        <v>991000</v>
      </c>
      <c r="N12" s="20">
        <v>832000</v>
      </c>
      <c r="O12" s="20">
        <f t="shared" si="2"/>
        <v>159000</v>
      </c>
      <c r="P12" t="s">
        <v>72</v>
      </c>
    </row>
    <row r="13" spans="1:16">
      <c r="A13" t="s">
        <v>73</v>
      </c>
      <c r="B13" s="18">
        <v>45673</v>
      </c>
      <c r="C13" s="19">
        <f t="shared" si="0"/>
        <v>2025</v>
      </c>
      <c r="D13" s="19" t="str">
        <f t="shared" si="1"/>
        <v>Jan</v>
      </c>
      <c r="E13" t="s">
        <v>17</v>
      </c>
      <c r="F13" t="s">
        <v>18</v>
      </c>
      <c r="G13" t="s">
        <v>19</v>
      </c>
      <c r="H13" t="s">
        <v>74</v>
      </c>
      <c r="I13" t="s">
        <v>40</v>
      </c>
      <c r="J13" t="s">
        <v>41</v>
      </c>
      <c r="K13" t="s">
        <v>42</v>
      </c>
      <c r="L13" s="19">
        <v>1</v>
      </c>
      <c r="M13" s="20">
        <v>1743000</v>
      </c>
      <c r="N13" s="20">
        <v>1411500</v>
      </c>
      <c r="O13" s="20">
        <f t="shared" si="2"/>
        <v>331500</v>
      </c>
      <c r="P13" t="s">
        <v>37</v>
      </c>
    </row>
    <row r="14" spans="1:16">
      <c r="A14" t="s">
        <v>75</v>
      </c>
      <c r="B14" s="18">
        <v>45674</v>
      </c>
      <c r="C14" s="19">
        <f t="shared" si="0"/>
        <v>2025</v>
      </c>
      <c r="D14" s="19" t="str">
        <f t="shared" si="1"/>
        <v>Jan</v>
      </c>
      <c r="E14" t="s">
        <v>26</v>
      </c>
      <c r="F14" t="s">
        <v>27</v>
      </c>
      <c r="G14" t="s">
        <v>28</v>
      </c>
      <c r="H14" t="s">
        <v>29</v>
      </c>
      <c r="I14" t="s">
        <v>56</v>
      </c>
      <c r="J14" t="s">
        <v>57</v>
      </c>
      <c r="K14" t="s">
        <v>58</v>
      </c>
      <c r="L14" s="19">
        <v>1</v>
      </c>
      <c r="M14" s="20">
        <v>1184000</v>
      </c>
      <c r="N14" s="20">
        <v>952600</v>
      </c>
      <c r="O14" s="20">
        <f t="shared" si="2"/>
        <v>231400</v>
      </c>
      <c r="P14" t="s">
        <v>24</v>
      </c>
    </row>
    <row r="15" spans="1:16">
      <c r="A15" t="s">
        <v>76</v>
      </c>
      <c r="B15" s="18">
        <v>45674</v>
      </c>
      <c r="C15" s="19">
        <f t="shared" si="0"/>
        <v>2025</v>
      </c>
      <c r="D15" s="19" t="str">
        <f t="shared" si="1"/>
        <v>Jan</v>
      </c>
      <c r="E15" t="s">
        <v>17</v>
      </c>
      <c r="F15" t="s">
        <v>51</v>
      </c>
      <c r="G15" t="s">
        <v>52</v>
      </c>
      <c r="H15" t="s">
        <v>53</v>
      </c>
      <c r="I15" t="s">
        <v>68</v>
      </c>
      <c r="J15" t="s">
        <v>49</v>
      </c>
      <c r="K15" t="s">
        <v>58</v>
      </c>
      <c r="L15" s="19">
        <v>1</v>
      </c>
      <c r="M15" s="20">
        <v>898000</v>
      </c>
      <c r="N15" s="20">
        <v>742500</v>
      </c>
      <c r="O15" s="20">
        <f t="shared" si="2"/>
        <v>155500</v>
      </c>
      <c r="P15" t="s">
        <v>37</v>
      </c>
    </row>
    <row r="16" spans="1:16">
      <c r="A16" t="s">
        <v>77</v>
      </c>
      <c r="B16" s="18">
        <v>45678</v>
      </c>
      <c r="C16" s="19">
        <f t="shared" si="0"/>
        <v>2025</v>
      </c>
      <c r="D16" s="19" t="str">
        <f t="shared" si="1"/>
        <v>Jan</v>
      </c>
      <c r="E16" t="s">
        <v>17</v>
      </c>
      <c r="F16" t="s">
        <v>18</v>
      </c>
      <c r="G16" t="s">
        <v>19</v>
      </c>
      <c r="H16" t="s">
        <v>74</v>
      </c>
      <c r="I16" t="s">
        <v>56</v>
      </c>
      <c r="J16" t="s">
        <v>57</v>
      </c>
      <c r="K16" t="s">
        <v>58</v>
      </c>
      <c r="L16" s="19">
        <v>1</v>
      </c>
      <c r="M16" s="20">
        <v>1211000</v>
      </c>
      <c r="N16" s="20">
        <v>1035100</v>
      </c>
      <c r="O16" s="20">
        <f t="shared" si="2"/>
        <v>175900</v>
      </c>
      <c r="P16" t="s">
        <v>78</v>
      </c>
    </row>
    <row r="17" spans="1:16">
      <c r="A17" t="s">
        <v>79</v>
      </c>
      <c r="B17" s="18">
        <v>45679</v>
      </c>
      <c r="C17" s="19">
        <f t="shared" si="0"/>
        <v>2025</v>
      </c>
      <c r="D17" s="19" t="str">
        <f t="shared" si="1"/>
        <v>Jan</v>
      </c>
      <c r="E17" t="s">
        <v>17</v>
      </c>
      <c r="F17" t="s">
        <v>51</v>
      </c>
      <c r="G17" t="s">
        <v>52</v>
      </c>
      <c r="H17" t="s">
        <v>70</v>
      </c>
      <c r="I17" t="s">
        <v>63</v>
      </c>
      <c r="J17" t="s">
        <v>41</v>
      </c>
      <c r="K17" t="s">
        <v>58</v>
      </c>
      <c r="L17" s="19">
        <v>1</v>
      </c>
      <c r="M17" s="20">
        <v>1348000</v>
      </c>
      <c r="N17" s="20">
        <v>1102100</v>
      </c>
      <c r="O17" s="20">
        <f t="shared" si="2"/>
        <v>245900</v>
      </c>
      <c r="P17" t="s">
        <v>78</v>
      </c>
    </row>
    <row r="18" spans="1:16">
      <c r="A18" t="s">
        <v>80</v>
      </c>
      <c r="B18" s="18">
        <v>45680</v>
      </c>
      <c r="C18" s="19">
        <f t="shared" si="0"/>
        <v>2025</v>
      </c>
      <c r="D18" s="19" t="str">
        <f t="shared" si="1"/>
        <v>Jan</v>
      </c>
      <c r="E18" t="s">
        <v>33</v>
      </c>
      <c r="F18" t="s">
        <v>81</v>
      </c>
      <c r="G18" t="s">
        <v>82</v>
      </c>
      <c r="H18" t="s">
        <v>83</v>
      </c>
      <c r="I18" t="s">
        <v>84</v>
      </c>
      <c r="J18" t="s">
        <v>22</v>
      </c>
      <c r="K18" t="s">
        <v>23</v>
      </c>
      <c r="L18" s="19">
        <v>1</v>
      </c>
      <c r="M18" s="20">
        <v>6424000</v>
      </c>
      <c r="N18" s="20">
        <v>5480800</v>
      </c>
      <c r="O18" s="20">
        <f t="shared" si="2"/>
        <v>943200</v>
      </c>
      <c r="P18" t="s">
        <v>37</v>
      </c>
    </row>
    <row r="19" spans="1:16">
      <c r="A19" t="s">
        <v>85</v>
      </c>
      <c r="B19" s="18">
        <v>45682</v>
      </c>
      <c r="C19" s="19">
        <f t="shared" si="0"/>
        <v>2025</v>
      </c>
      <c r="D19" s="19" t="str">
        <f t="shared" si="1"/>
        <v>Jan</v>
      </c>
      <c r="E19" t="s">
        <v>26</v>
      </c>
      <c r="F19" t="s">
        <v>27</v>
      </c>
      <c r="G19" t="s">
        <v>28</v>
      </c>
      <c r="H19" t="s">
        <v>39</v>
      </c>
      <c r="I19" t="s">
        <v>68</v>
      </c>
      <c r="J19" t="s">
        <v>49</v>
      </c>
      <c r="K19" t="s">
        <v>58</v>
      </c>
      <c r="L19" s="19">
        <v>1</v>
      </c>
      <c r="M19" s="20">
        <v>929000</v>
      </c>
      <c r="N19" s="20">
        <v>776300</v>
      </c>
      <c r="O19" s="20">
        <f t="shared" si="2"/>
        <v>152700</v>
      </c>
      <c r="P19" t="s">
        <v>78</v>
      </c>
    </row>
    <row r="20" spans="1:16">
      <c r="A20" t="s">
        <v>86</v>
      </c>
      <c r="B20" s="18">
        <v>45684</v>
      </c>
      <c r="C20" s="19">
        <f t="shared" si="0"/>
        <v>2025</v>
      </c>
      <c r="D20" s="19" t="str">
        <f t="shared" si="1"/>
        <v>Jan</v>
      </c>
      <c r="E20" t="s">
        <v>26</v>
      </c>
      <c r="F20" t="s">
        <v>65</v>
      </c>
      <c r="G20" t="s">
        <v>66</v>
      </c>
      <c r="H20" t="s">
        <v>67</v>
      </c>
      <c r="I20" t="s">
        <v>63</v>
      </c>
      <c r="J20" t="s">
        <v>41</v>
      </c>
      <c r="K20" t="s">
        <v>58</v>
      </c>
      <c r="L20" s="19">
        <v>1</v>
      </c>
      <c r="M20" s="20">
        <v>1342000</v>
      </c>
      <c r="N20" s="20">
        <v>1163300</v>
      </c>
      <c r="O20" s="20">
        <f t="shared" si="2"/>
        <v>178700</v>
      </c>
      <c r="P20" t="s">
        <v>54</v>
      </c>
    </row>
    <row r="21" spans="1:16">
      <c r="A21" t="s">
        <v>87</v>
      </c>
      <c r="B21" s="18">
        <v>45685</v>
      </c>
      <c r="C21" s="19">
        <f t="shared" si="0"/>
        <v>2025</v>
      </c>
      <c r="D21" s="19" t="str">
        <f t="shared" si="1"/>
        <v>Jan</v>
      </c>
      <c r="E21" t="s">
        <v>17</v>
      </c>
      <c r="F21" t="s">
        <v>18</v>
      </c>
      <c r="G21" t="s">
        <v>19</v>
      </c>
      <c r="H21" t="s">
        <v>74</v>
      </c>
      <c r="I21" t="s">
        <v>63</v>
      </c>
      <c r="J21" t="s">
        <v>41</v>
      </c>
      <c r="K21" t="s">
        <v>58</v>
      </c>
      <c r="L21" s="19">
        <v>1</v>
      </c>
      <c r="M21" s="20">
        <v>1396000</v>
      </c>
      <c r="N21" s="20">
        <v>1183600</v>
      </c>
      <c r="O21" s="20">
        <f t="shared" si="2"/>
        <v>212400</v>
      </c>
      <c r="P21" t="s">
        <v>31</v>
      </c>
    </row>
    <row r="22" spans="1:16">
      <c r="A22" t="s">
        <v>88</v>
      </c>
      <c r="B22" s="18">
        <v>45686</v>
      </c>
      <c r="C22" s="19">
        <f t="shared" si="0"/>
        <v>2025</v>
      </c>
      <c r="D22" s="19" t="str">
        <f t="shared" si="1"/>
        <v>Jan</v>
      </c>
      <c r="E22" t="s">
        <v>17</v>
      </c>
      <c r="F22" t="s">
        <v>18</v>
      </c>
      <c r="G22" t="s">
        <v>19</v>
      </c>
      <c r="H22" t="s">
        <v>74</v>
      </c>
      <c r="I22" t="s">
        <v>36</v>
      </c>
      <c r="J22" t="s">
        <v>22</v>
      </c>
      <c r="K22" t="s">
        <v>23</v>
      </c>
      <c r="L22" s="19">
        <v>1</v>
      </c>
      <c r="M22" s="20">
        <v>12746000</v>
      </c>
      <c r="N22" s="20">
        <v>10795600</v>
      </c>
      <c r="O22" s="20">
        <f t="shared" si="2"/>
        <v>1950400</v>
      </c>
      <c r="P22" t="s">
        <v>54</v>
      </c>
    </row>
    <row r="23" spans="1:16">
      <c r="A23" t="s">
        <v>89</v>
      </c>
      <c r="B23" s="18">
        <v>45688</v>
      </c>
      <c r="C23" s="19">
        <f t="shared" si="0"/>
        <v>2025</v>
      </c>
      <c r="D23" s="19" t="str">
        <f t="shared" si="1"/>
        <v>Jan</v>
      </c>
      <c r="E23" t="s">
        <v>26</v>
      </c>
      <c r="F23" t="s">
        <v>27</v>
      </c>
      <c r="G23" t="s">
        <v>28</v>
      </c>
      <c r="H23" t="s">
        <v>39</v>
      </c>
      <c r="I23" t="s">
        <v>63</v>
      </c>
      <c r="J23" t="s">
        <v>41</v>
      </c>
      <c r="K23" t="s">
        <v>58</v>
      </c>
      <c r="L23" s="19">
        <v>1</v>
      </c>
      <c r="M23" s="20">
        <v>1333000</v>
      </c>
      <c r="N23" s="20">
        <v>1087800</v>
      </c>
      <c r="O23" s="20">
        <f t="shared" si="2"/>
        <v>245200</v>
      </c>
      <c r="P23" t="s">
        <v>24</v>
      </c>
    </row>
    <row r="24" spans="1:16">
      <c r="A24" t="s">
        <v>90</v>
      </c>
      <c r="B24" s="18">
        <v>45688</v>
      </c>
      <c r="C24" s="19">
        <f t="shared" si="0"/>
        <v>2025</v>
      </c>
      <c r="D24" s="19" t="str">
        <f t="shared" si="1"/>
        <v>Jan</v>
      </c>
      <c r="E24" t="s">
        <v>17</v>
      </c>
      <c r="F24" t="s">
        <v>18</v>
      </c>
      <c r="G24" t="s">
        <v>60</v>
      </c>
      <c r="H24" t="s">
        <v>61</v>
      </c>
      <c r="I24" t="s">
        <v>68</v>
      </c>
      <c r="J24" t="s">
        <v>49</v>
      </c>
      <c r="K24" t="s">
        <v>58</v>
      </c>
      <c r="L24" s="19">
        <v>1</v>
      </c>
      <c r="M24" s="20">
        <v>935000</v>
      </c>
      <c r="N24" s="20">
        <v>777200</v>
      </c>
      <c r="O24" s="20">
        <f t="shared" si="2"/>
        <v>157800</v>
      </c>
      <c r="P24" t="s">
        <v>37</v>
      </c>
    </row>
    <row r="25" spans="1:16">
      <c r="A25" t="s">
        <v>91</v>
      </c>
      <c r="B25" s="18">
        <v>45688</v>
      </c>
      <c r="C25" s="19">
        <f t="shared" si="0"/>
        <v>2025</v>
      </c>
      <c r="D25" s="19" t="str">
        <f t="shared" si="1"/>
        <v>Jan</v>
      </c>
      <c r="E25" t="s">
        <v>33</v>
      </c>
      <c r="F25" t="s">
        <v>92</v>
      </c>
      <c r="G25" t="s">
        <v>93</v>
      </c>
      <c r="H25" t="s">
        <v>94</v>
      </c>
      <c r="I25" t="s">
        <v>68</v>
      </c>
      <c r="J25" t="s">
        <v>49</v>
      </c>
      <c r="K25" t="s">
        <v>58</v>
      </c>
      <c r="L25" s="19">
        <v>1</v>
      </c>
      <c r="M25" s="20">
        <v>914000</v>
      </c>
      <c r="N25" s="20">
        <v>779100</v>
      </c>
      <c r="O25" s="20">
        <f t="shared" si="2"/>
        <v>134900</v>
      </c>
      <c r="P25" t="s">
        <v>31</v>
      </c>
    </row>
    <row r="26" spans="1:16">
      <c r="A26" t="s">
        <v>95</v>
      </c>
      <c r="B26" s="18">
        <v>45690</v>
      </c>
      <c r="C26" s="19">
        <f t="shared" si="0"/>
        <v>2025</v>
      </c>
      <c r="D26" s="19" t="str">
        <f t="shared" si="1"/>
        <v>Feb</v>
      </c>
      <c r="E26" t="s">
        <v>17</v>
      </c>
      <c r="F26" t="s">
        <v>51</v>
      </c>
      <c r="G26" t="s">
        <v>52</v>
      </c>
      <c r="H26" t="s">
        <v>53</v>
      </c>
      <c r="I26" t="s">
        <v>56</v>
      </c>
      <c r="J26" t="s">
        <v>57</v>
      </c>
      <c r="K26" t="s">
        <v>58</v>
      </c>
      <c r="L26" s="19">
        <v>2</v>
      </c>
      <c r="M26" s="20">
        <v>2361000</v>
      </c>
      <c r="N26" s="20">
        <v>2024600</v>
      </c>
      <c r="O26" s="20">
        <f t="shared" si="2"/>
        <v>336400</v>
      </c>
      <c r="P26" t="s">
        <v>24</v>
      </c>
    </row>
    <row r="27" spans="1:16">
      <c r="A27" t="s">
        <v>96</v>
      </c>
      <c r="B27" s="18">
        <v>45692</v>
      </c>
      <c r="C27" s="19">
        <f t="shared" si="0"/>
        <v>2025</v>
      </c>
      <c r="D27" s="19" t="str">
        <f t="shared" si="1"/>
        <v>Feb</v>
      </c>
      <c r="E27" t="s">
        <v>17</v>
      </c>
      <c r="F27" t="s">
        <v>18</v>
      </c>
      <c r="G27" t="s">
        <v>19</v>
      </c>
      <c r="H27" t="s">
        <v>74</v>
      </c>
      <c r="I27" t="s">
        <v>71</v>
      </c>
      <c r="J27" t="s">
        <v>49</v>
      </c>
      <c r="K27" t="s">
        <v>58</v>
      </c>
      <c r="L27" s="19">
        <v>1</v>
      </c>
      <c r="M27" s="20">
        <v>979000</v>
      </c>
      <c r="N27" s="20">
        <v>854400</v>
      </c>
      <c r="O27" s="20">
        <f t="shared" si="2"/>
        <v>124600</v>
      </c>
      <c r="P27" t="s">
        <v>31</v>
      </c>
    </row>
    <row r="28" spans="1:16">
      <c r="A28" t="s">
        <v>97</v>
      </c>
      <c r="B28" s="18">
        <v>45693</v>
      </c>
      <c r="C28" s="19">
        <f t="shared" si="0"/>
        <v>2025</v>
      </c>
      <c r="D28" s="19" t="str">
        <f t="shared" si="1"/>
        <v>Feb</v>
      </c>
      <c r="E28" t="s">
        <v>17</v>
      </c>
      <c r="F28" t="s">
        <v>51</v>
      </c>
      <c r="G28" t="s">
        <v>98</v>
      </c>
      <c r="H28" t="s">
        <v>99</v>
      </c>
      <c r="I28" t="s">
        <v>71</v>
      </c>
      <c r="J28" t="s">
        <v>49</v>
      </c>
      <c r="K28" t="s">
        <v>58</v>
      </c>
      <c r="L28" s="19">
        <v>1</v>
      </c>
      <c r="M28" s="20">
        <v>1032000</v>
      </c>
      <c r="N28" s="20">
        <v>865200</v>
      </c>
      <c r="O28" s="20">
        <f t="shared" si="2"/>
        <v>166800</v>
      </c>
      <c r="P28" t="s">
        <v>31</v>
      </c>
    </row>
    <row r="29" spans="1:16">
      <c r="A29" t="s">
        <v>100</v>
      </c>
      <c r="B29" s="18">
        <v>45693</v>
      </c>
      <c r="C29" s="19">
        <f t="shared" si="0"/>
        <v>2025</v>
      </c>
      <c r="D29" s="19" t="str">
        <f t="shared" si="1"/>
        <v>Feb</v>
      </c>
      <c r="E29" t="s">
        <v>33</v>
      </c>
      <c r="F29" t="s">
        <v>81</v>
      </c>
      <c r="G29" t="s">
        <v>82</v>
      </c>
      <c r="H29" t="s">
        <v>83</v>
      </c>
      <c r="I29" t="s">
        <v>68</v>
      </c>
      <c r="J29" t="s">
        <v>49</v>
      </c>
      <c r="K29" t="s">
        <v>58</v>
      </c>
      <c r="L29" s="19">
        <v>1</v>
      </c>
      <c r="M29" s="20">
        <v>927000</v>
      </c>
      <c r="N29" s="20">
        <v>783400</v>
      </c>
      <c r="O29" s="20">
        <f t="shared" si="2"/>
        <v>143600</v>
      </c>
      <c r="P29" t="s">
        <v>54</v>
      </c>
    </row>
    <row r="30" spans="1:16">
      <c r="A30" t="s">
        <v>101</v>
      </c>
      <c r="B30" s="18">
        <v>45693</v>
      </c>
      <c r="C30" s="19">
        <f t="shared" si="0"/>
        <v>2025</v>
      </c>
      <c r="D30" s="19" t="str">
        <f t="shared" si="1"/>
        <v>Feb</v>
      </c>
      <c r="E30" t="s">
        <v>33</v>
      </c>
      <c r="F30" t="s">
        <v>34</v>
      </c>
      <c r="G30" t="s">
        <v>34</v>
      </c>
      <c r="H30" t="s">
        <v>102</v>
      </c>
      <c r="I30" t="s">
        <v>68</v>
      </c>
      <c r="J30" t="s">
        <v>49</v>
      </c>
      <c r="K30" t="s">
        <v>58</v>
      </c>
      <c r="L30" s="19">
        <v>1</v>
      </c>
      <c r="M30" s="20">
        <v>910000</v>
      </c>
      <c r="N30" s="20">
        <v>750800</v>
      </c>
      <c r="O30" s="20">
        <f t="shared" si="2"/>
        <v>159200</v>
      </c>
      <c r="P30" t="s">
        <v>31</v>
      </c>
    </row>
    <row r="31" spans="1:16">
      <c r="A31" t="s">
        <v>103</v>
      </c>
      <c r="B31" s="18">
        <v>45694</v>
      </c>
      <c r="C31" s="19">
        <f t="shared" si="0"/>
        <v>2025</v>
      </c>
      <c r="D31" s="19" t="str">
        <f t="shared" si="1"/>
        <v>Feb</v>
      </c>
      <c r="E31" t="s">
        <v>26</v>
      </c>
      <c r="F31" t="s">
        <v>27</v>
      </c>
      <c r="G31" t="s">
        <v>28</v>
      </c>
      <c r="H31" t="s">
        <v>29</v>
      </c>
      <c r="I31" t="s">
        <v>68</v>
      </c>
      <c r="J31" t="s">
        <v>49</v>
      </c>
      <c r="K31" t="s">
        <v>58</v>
      </c>
      <c r="L31" s="19">
        <v>1</v>
      </c>
      <c r="M31" s="20">
        <v>930000</v>
      </c>
      <c r="N31" s="20">
        <v>769900</v>
      </c>
      <c r="O31" s="20">
        <f t="shared" si="2"/>
        <v>160100</v>
      </c>
      <c r="P31" t="s">
        <v>31</v>
      </c>
    </row>
    <row r="32" spans="1:16">
      <c r="A32" t="s">
        <v>104</v>
      </c>
      <c r="B32" s="18">
        <v>45695</v>
      </c>
      <c r="C32" s="19">
        <f t="shared" si="0"/>
        <v>2025</v>
      </c>
      <c r="D32" s="19" t="str">
        <f t="shared" si="1"/>
        <v>Feb</v>
      </c>
      <c r="E32" t="s">
        <v>17</v>
      </c>
      <c r="F32" t="s">
        <v>51</v>
      </c>
      <c r="G32" t="s">
        <v>52</v>
      </c>
      <c r="H32" t="s">
        <v>70</v>
      </c>
      <c r="I32" t="s">
        <v>63</v>
      </c>
      <c r="J32" t="s">
        <v>41</v>
      </c>
      <c r="K32" t="s">
        <v>58</v>
      </c>
      <c r="L32" s="19">
        <v>1</v>
      </c>
      <c r="M32" s="20">
        <v>1326000</v>
      </c>
      <c r="N32" s="20">
        <v>1110500</v>
      </c>
      <c r="O32" s="20">
        <f t="shared" si="2"/>
        <v>215500</v>
      </c>
      <c r="P32" t="s">
        <v>31</v>
      </c>
    </row>
    <row r="33" spans="1:16">
      <c r="A33" t="s">
        <v>105</v>
      </c>
      <c r="B33" s="18">
        <v>45696</v>
      </c>
      <c r="C33" s="19">
        <f t="shared" si="0"/>
        <v>2025</v>
      </c>
      <c r="D33" s="19" t="str">
        <f t="shared" si="1"/>
        <v>Feb</v>
      </c>
      <c r="E33" t="s">
        <v>33</v>
      </c>
      <c r="F33" t="s">
        <v>92</v>
      </c>
      <c r="G33" t="s">
        <v>93</v>
      </c>
      <c r="H33" t="s">
        <v>94</v>
      </c>
      <c r="I33" t="s">
        <v>56</v>
      </c>
      <c r="J33" t="s">
        <v>57</v>
      </c>
      <c r="K33" t="s">
        <v>58</v>
      </c>
      <c r="L33" s="19">
        <v>1</v>
      </c>
      <c r="M33" s="20">
        <v>1235000</v>
      </c>
      <c r="N33" s="20">
        <v>1021400</v>
      </c>
      <c r="O33" s="20">
        <f t="shared" si="2"/>
        <v>213600</v>
      </c>
      <c r="P33" t="s">
        <v>37</v>
      </c>
    </row>
    <row r="34" spans="1:16">
      <c r="A34" t="s">
        <v>106</v>
      </c>
      <c r="B34" s="18">
        <v>45697</v>
      </c>
      <c r="C34" s="19">
        <f t="shared" si="0"/>
        <v>2025</v>
      </c>
      <c r="D34" s="19" t="str">
        <f t="shared" si="1"/>
        <v>Feb</v>
      </c>
      <c r="E34" t="s">
        <v>33</v>
      </c>
      <c r="F34" t="s">
        <v>34</v>
      </c>
      <c r="G34" t="s">
        <v>34</v>
      </c>
      <c r="H34" t="s">
        <v>35</v>
      </c>
      <c r="I34" t="s">
        <v>40</v>
      </c>
      <c r="J34" t="s">
        <v>41</v>
      </c>
      <c r="K34" t="s">
        <v>42</v>
      </c>
      <c r="L34" s="19">
        <v>1</v>
      </c>
      <c r="M34" s="20">
        <v>1668000</v>
      </c>
      <c r="N34" s="20">
        <v>1404000</v>
      </c>
      <c r="O34" s="20">
        <f t="shared" si="2"/>
        <v>264000</v>
      </c>
      <c r="P34" t="s">
        <v>54</v>
      </c>
    </row>
    <row r="35" spans="1:16">
      <c r="A35" t="s">
        <v>107</v>
      </c>
      <c r="B35" s="18">
        <v>45698</v>
      </c>
      <c r="C35" s="19">
        <f t="shared" si="0"/>
        <v>2025</v>
      </c>
      <c r="D35" s="19" t="str">
        <f t="shared" si="1"/>
        <v>Feb</v>
      </c>
      <c r="E35" t="s">
        <v>33</v>
      </c>
      <c r="F35" t="s">
        <v>81</v>
      </c>
      <c r="G35" t="s">
        <v>82</v>
      </c>
      <c r="H35" t="s">
        <v>83</v>
      </c>
      <c r="I35" t="s">
        <v>68</v>
      </c>
      <c r="J35" t="s">
        <v>49</v>
      </c>
      <c r="K35" t="s">
        <v>58</v>
      </c>
      <c r="L35" s="19">
        <v>1</v>
      </c>
      <c r="M35" s="20">
        <v>915000</v>
      </c>
      <c r="N35" s="20">
        <v>783900</v>
      </c>
      <c r="O35" s="20">
        <f t="shared" si="2"/>
        <v>131100</v>
      </c>
      <c r="P35" t="s">
        <v>31</v>
      </c>
    </row>
    <row r="36" spans="1:16">
      <c r="A36" t="s">
        <v>108</v>
      </c>
      <c r="B36" s="18">
        <v>45701</v>
      </c>
      <c r="C36" s="19">
        <f t="shared" si="0"/>
        <v>2025</v>
      </c>
      <c r="D36" s="19" t="str">
        <f t="shared" si="1"/>
        <v>Feb</v>
      </c>
      <c r="E36" t="s">
        <v>17</v>
      </c>
      <c r="F36" t="s">
        <v>18</v>
      </c>
      <c r="G36" t="s">
        <v>19</v>
      </c>
      <c r="H36" t="s">
        <v>74</v>
      </c>
      <c r="I36" t="s">
        <v>40</v>
      </c>
      <c r="J36" t="s">
        <v>41</v>
      </c>
      <c r="K36" t="s">
        <v>42</v>
      </c>
      <c r="L36" s="19">
        <v>1</v>
      </c>
      <c r="M36" s="20">
        <v>1782000</v>
      </c>
      <c r="N36" s="20">
        <v>1475200</v>
      </c>
      <c r="O36" s="20">
        <f t="shared" si="2"/>
        <v>306800</v>
      </c>
      <c r="P36" t="s">
        <v>31</v>
      </c>
    </row>
    <row r="37" spans="1:16">
      <c r="A37" t="s">
        <v>109</v>
      </c>
      <c r="B37" s="18">
        <v>45701</v>
      </c>
      <c r="C37" s="19">
        <f t="shared" si="0"/>
        <v>2025</v>
      </c>
      <c r="D37" s="19" t="str">
        <f t="shared" si="1"/>
        <v>Feb</v>
      </c>
      <c r="E37" t="s">
        <v>26</v>
      </c>
      <c r="F37" t="s">
        <v>27</v>
      </c>
      <c r="G37" t="s">
        <v>28</v>
      </c>
      <c r="H37" t="s">
        <v>29</v>
      </c>
      <c r="I37" t="s">
        <v>21</v>
      </c>
      <c r="J37" t="s">
        <v>22</v>
      </c>
      <c r="K37" t="s">
        <v>23</v>
      </c>
      <c r="L37" s="19">
        <v>1</v>
      </c>
      <c r="M37" s="20">
        <v>1903000</v>
      </c>
      <c r="N37" s="20">
        <v>1667000</v>
      </c>
      <c r="O37" s="20">
        <f t="shared" si="2"/>
        <v>236000</v>
      </c>
      <c r="P37" t="s">
        <v>37</v>
      </c>
    </row>
    <row r="38" spans="1:16">
      <c r="A38" t="s">
        <v>110</v>
      </c>
      <c r="B38" s="18">
        <v>45702</v>
      </c>
      <c r="C38" s="19">
        <f t="shared" si="0"/>
        <v>2025</v>
      </c>
      <c r="D38" s="19" t="str">
        <f t="shared" si="1"/>
        <v>Feb</v>
      </c>
      <c r="E38" t="s">
        <v>17</v>
      </c>
      <c r="F38" t="s">
        <v>18</v>
      </c>
      <c r="G38" t="s">
        <v>60</v>
      </c>
      <c r="H38" t="s">
        <v>61</v>
      </c>
      <c r="I38" t="s">
        <v>56</v>
      </c>
      <c r="J38" t="s">
        <v>57</v>
      </c>
      <c r="K38" t="s">
        <v>58</v>
      </c>
      <c r="L38" s="19">
        <v>1</v>
      </c>
      <c r="M38" s="20">
        <v>1253000</v>
      </c>
      <c r="N38" s="20">
        <v>1079000</v>
      </c>
      <c r="O38" s="20">
        <f t="shared" si="2"/>
        <v>174000</v>
      </c>
      <c r="P38" t="s">
        <v>24</v>
      </c>
    </row>
    <row r="39" spans="1:16">
      <c r="A39" t="s">
        <v>111</v>
      </c>
      <c r="B39" s="18">
        <v>45702</v>
      </c>
      <c r="C39" s="19">
        <f t="shared" si="0"/>
        <v>2025</v>
      </c>
      <c r="D39" s="19" t="str">
        <f t="shared" si="1"/>
        <v>Feb</v>
      </c>
      <c r="E39" t="s">
        <v>17</v>
      </c>
      <c r="F39" t="s">
        <v>18</v>
      </c>
      <c r="G39" t="s">
        <v>19</v>
      </c>
      <c r="H39" t="s">
        <v>20</v>
      </c>
      <c r="I39" t="s">
        <v>48</v>
      </c>
      <c r="J39" t="s">
        <v>49</v>
      </c>
      <c r="K39" t="s">
        <v>42</v>
      </c>
      <c r="L39" s="19">
        <v>1</v>
      </c>
      <c r="M39" s="20">
        <v>1192000</v>
      </c>
      <c r="N39" s="20">
        <v>971500</v>
      </c>
      <c r="O39" s="20">
        <f t="shared" si="2"/>
        <v>220500</v>
      </c>
      <c r="P39" t="s">
        <v>24</v>
      </c>
    </row>
    <row r="40" spans="1:16">
      <c r="A40" t="s">
        <v>112</v>
      </c>
      <c r="B40" s="18">
        <v>45705</v>
      </c>
      <c r="C40" s="19">
        <f t="shared" si="0"/>
        <v>2025</v>
      </c>
      <c r="D40" s="19" t="str">
        <f t="shared" si="1"/>
        <v>Feb</v>
      </c>
      <c r="E40" t="s">
        <v>33</v>
      </c>
      <c r="F40" t="s">
        <v>34</v>
      </c>
      <c r="G40" t="s">
        <v>34</v>
      </c>
      <c r="H40" t="s">
        <v>102</v>
      </c>
      <c r="I40" t="s">
        <v>71</v>
      </c>
      <c r="J40" t="s">
        <v>49</v>
      </c>
      <c r="K40" t="s">
        <v>58</v>
      </c>
      <c r="L40" s="19">
        <v>1</v>
      </c>
      <c r="M40" s="20">
        <v>1037000</v>
      </c>
      <c r="N40" s="20">
        <v>857400</v>
      </c>
      <c r="O40" s="20">
        <f t="shared" si="2"/>
        <v>179600</v>
      </c>
      <c r="P40" t="s">
        <v>54</v>
      </c>
    </row>
    <row r="41" spans="1:16">
      <c r="A41" t="s">
        <v>113</v>
      </c>
      <c r="B41" s="18">
        <v>45705</v>
      </c>
      <c r="C41" s="19">
        <f t="shared" si="0"/>
        <v>2025</v>
      </c>
      <c r="D41" s="19" t="str">
        <f t="shared" si="1"/>
        <v>Feb</v>
      </c>
      <c r="E41" t="s">
        <v>17</v>
      </c>
      <c r="F41" t="s">
        <v>18</v>
      </c>
      <c r="G41" t="s">
        <v>19</v>
      </c>
      <c r="H41" t="s">
        <v>74</v>
      </c>
      <c r="I41" t="s">
        <v>71</v>
      </c>
      <c r="J41" t="s">
        <v>49</v>
      </c>
      <c r="K41" t="s">
        <v>58</v>
      </c>
      <c r="L41" s="19">
        <v>1</v>
      </c>
      <c r="M41" s="20">
        <v>1001000</v>
      </c>
      <c r="N41" s="20">
        <v>824200</v>
      </c>
      <c r="O41" s="20">
        <f t="shared" si="2"/>
        <v>176800</v>
      </c>
      <c r="P41" t="s">
        <v>24</v>
      </c>
    </row>
    <row r="42" spans="1:16">
      <c r="A42" t="s">
        <v>114</v>
      </c>
      <c r="B42" s="18">
        <v>45706</v>
      </c>
      <c r="C42" s="19">
        <f t="shared" si="0"/>
        <v>2025</v>
      </c>
      <c r="D42" s="19" t="str">
        <f t="shared" si="1"/>
        <v>Feb</v>
      </c>
      <c r="E42" t="s">
        <v>17</v>
      </c>
      <c r="F42" t="s">
        <v>51</v>
      </c>
      <c r="G42" t="s">
        <v>52</v>
      </c>
      <c r="H42" t="s">
        <v>53</v>
      </c>
      <c r="I42" t="s">
        <v>71</v>
      </c>
      <c r="J42" t="s">
        <v>49</v>
      </c>
      <c r="K42" t="s">
        <v>58</v>
      </c>
      <c r="L42" s="19">
        <v>1</v>
      </c>
      <c r="M42" s="20">
        <v>1002000</v>
      </c>
      <c r="N42" s="20">
        <v>843600</v>
      </c>
      <c r="O42" s="20">
        <f t="shared" si="2"/>
        <v>158400</v>
      </c>
      <c r="P42" t="s">
        <v>37</v>
      </c>
    </row>
    <row r="43" spans="1:16">
      <c r="A43" t="s">
        <v>115</v>
      </c>
      <c r="B43" s="18">
        <v>45708</v>
      </c>
      <c r="C43" s="19">
        <f t="shared" si="0"/>
        <v>2025</v>
      </c>
      <c r="D43" s="19" t="str">
        <f t="shared" si="1"/>
        <v>Feb</v>
      </c>
      <c r="E43" t="s">
        <v>17</v>
      </c>
      <c r="F43" t="s">
        <v>18</v>
      </c>
      <c r="G43" t="s">
        <v>19</v>
      </c>
      <c r="H43" t="s">
        <v>74</v>
      </c>
      <c r="I43" t="s">
        <v>71</v>
      </c>
      <c r="J43" t="s">
        <v>49</v>
      </c>
      <c r="K43" t="s">
        <v>58</v>
      </c>
      <c r="L43" s="19">
        <v>1</v>
      </c>
      <c r="M43" s="20">
        <v>978000</v>
      </c>
      <c r="N43" s="20">
        <v>800300</v>
      </c>
      <c r="O43" s="20">
        <f t="shared" si="2"/>
        <v>177700</v>
      </c>
      <c r="P43" t="s">
        <v>24</v>
      </c>
    </row>
    <row r="44" spans="1:16">
      <c r="A44" t="s">
        <v>116</v>
      </c>
      <c r="B44" s="18">
        <v>45711</v>
      </c>
      <c r="C44" s="19">
        <f t="shared" si="0"/>
        <v>2025</v>
      </c>
      <c r="D44" s="19" t="str">
        <f t="shared" si="1"/>
        <v>Feb</v>
      </c>
      <c r="E44" t="s">
        <v>17</v>
      </c>
      <c r="F44" t="s">
        <v>51</v>
      </c>
      <c r="G44" t="s">
        <v>52</v>
      </c>
      <c r="H44" t="s">
        <v>70</v>
      </c>
      <c r="I44" t="s">
        <v>40</v>
      </c>
      <c r="J44" t="s">
        <v>41</v>
      </c>
      <c r="K44" t="s">
        <v>42</v>
      </c>
      <c r="L44" s="19">
        <v>1</v>
      </c>
      <c r="M44" s="20">
        <v>1693000</v>
      </c>
      <c r="N44" s="20">
        <v>1378600</v>
      </c>
      <c r="O44" s="20">
        <f t="shared" si="2"/>
        <v>314400</v>
      </c>
      <c r="P44" t="s">
        <v>31</v>
      </c>
    </row>
    <row r="45" spans="1:16">
      <c r="A45" t="s">
        <v>117</v>
      </c>
      <c r="B45" s="18">
        <v>45714</v>
      </c>
      <c r="C45" s="19">
        <f t="shared" si="0"/>
        <v>2025</v>
      </c>
      <c r="D45" s="19" t="str">
        <f t="shared" si="1"/>
        <v>Feb</v>
      </c>
      <c r="E45" t="s">
        <v>44</v>
      </c>
      <c r="F45" t="s">
        <v>118</v>
      </c>
      <c r="G45" t="s">
        <v>119</v>
      </c>
      <c r="H45" t="s">
        <v>120</v>
      </c>
      <c r="I45" t="s">
        <v>121</v>
      </c>
      <c r="J45" t="s">
        <v>57</v>
      </c>
      <c r="K45" t="s">
        <v>42</v>
      </c>
      <c r="L45" s="19">
        <v>1</v>
      </c>
      <c r="M45" s="20">
        <v>1554000</v>
      </c>
      <c r="N45" s="20">
        <v>1257900</v>
      </c>
      <c r="O45" s="20">
        <f t="shared" si="2"/>
        <v>296100</v>
      </c>
      <c r="P45" t="s">
        <v>78</v>
      </c>
    </row>
    <row r="46" spans="1:16">
      <c r="A46" t="s">
        <v>122</v>
      </c>
      <c r="B46" s="18">
        <v>45714</v>
      </c>
      <c r="C46" s="19">
        <f t="shared" si="0"/>
        <v>2025</v>
      </c>
      <c r="D46" s="19" t="str">
        <f t="shared" si="1"/>
        <v>Feb</v>
      </c>
      <c r="E46" t="s">
        <v>33</v>
      </c>
      <c r="F46" t="s">
        <v>34</v>
      </c>
      <c r="G46" t="s">
        <v>34</v>
      </c>
      <c r="H46" t="s">
        <v>102</v>
      </c>
      <c r="I46" t="s">
        <v>30</v>
      </c>
      <c r="J46" t="s">
        <v>22</v>
      </c>
      <c r="K46" t="s">
        <v>23</v>
      </c>
      <c r="L46" s="19">
        <v>1</v>
      </c>
      <c r="M46" s="20">
        <v>1853000</v>
      </c>
      <c r="N46" s="20">
        <v>1617300</v>
      </c>
      <c r="O46" s="20">
        <f t="shared" si="2"/>
        <v>235700</v>
      </c>
      <c r="P46" t="s">
        <v>54</v>
      </c>
    </row>
    <row r="47" spans="1:16">
      <c r="A47" t="s">
        <v>123</v>
      </c>
      <c r="B47" s="18">
        <v>45715</v>
      </c>
      <c r="C47" s="19">
        <f t="shared" si="0"/>
        <v>2025</v>
      </c>
      <c r="D47" s="19" t="str">
        <f t="shared" si="1"/>
        <v>Feb</v>
      </c>
      <c r="E47" t="s">
        <v>44</v>
      </c>
      <c r="F47" t="s">
        <v>118</v>
      </c>
      <c r="G47" t="s">
        <v>119</v>
      </c>
      <c r="H47" t="s">
        <v>120</v>
      </c>
      <c r="I47" t="s">
        <v>48</v>
      </c>
      <c r="J47" t="s">
        <v>49</v>
      </c>
      <c r="K47" t="s">
        <v>42</v>
      </c>
      <c r="L47" s="19">
        <v>1</v>
      </c>
      <c r="M47" s="20">
        <v>1201000</v>
      </c>
      <c r="N47" s="20">
        <v>1048800</v>
      </c>
      <c r="O47" s="20">
        <f t="shared" si="2"/>
        <v>152200</v>
      </c>
      <c r="P47" t="s">
        <v>37</v>
      </c>
    </row>
    <row r="48" spans="1:16">
      <c r="A48" t="s">
        <v>124</v>
      </c>
      <c r="B48" s="18">
        <v>45716</v>
      </c>
      <c r="C48" s="19">
        <f t="shared" si="0"/>
        <v>2025</v>
      </c>
      <c r="D48" s="19" t="str">
        <f t="shared" si="1"/>
        <v>Feb</v>
      </c>
      <c r="E48" t="s">
        <v>26</v>
      </c>
      <c r="F48" t="s">
        <v>27</v>
      </c>
      <c r="G48" t="s">
        <v>28</v>
      </c>
      <c r="H48" t="s">
        <v>39</v>
      </c>
      <c r="I48" t="s">
        <v>48</v>
      </c>
      <c r="J48" t="s">
        <v>49</v>
      </c>
      <c r="K48" t="s">
        <v>42</v>
      </c>
      <c r="L48" s="19">
        <v>1</v>
      </c>
      <c r="M48" s="20">
        <v>1284000</v>
      </c>
      <c r="N48" s="20">
        <v>1124500</v>
      </c>
      <c r="O48" s="20">
        <f t="shared" si="2"/>
        <v>159500</v>
      </c>
      <c r="P48" t="s">
        <v>37</v>
      </c>
    </row>
    <row r="49" spans="1:16">
      <c r="A49" t="s">
        <v>125</v>
      </c>
      <c r="B49" s="18">
        <v>45716</v>
      </c>
      <c r="C49" s="19">
        <f t="shared" si="0"/>
        <v>2025</v>
      </c>
      <c r="D49" s="19" t="str">
        <f t="shared" si="1"/>
        <v>Feb</v>
      </c>
      <c r="E49" t="s">
        <v>26</v>
      </c>
      <c r="F49" t="s">
        <v>27</v>
      </c>
      <c r="G49" t="s">
        <v>28</v>
      </c>
      <c r="H49" t="s">
        <v>39</v>
      </c>
      <c r="I49" t="s">
        <v>68</v>
      </c>
      <c r="J49" t="s">
        <v>49</v>
      </c>
      <c r="K49" t="s">
        <v>58</v>
      </c>
      <c r="L49" s="19">
        <v>1</v>
      </c>
      <c r="M49" s="20">
        <v>905000</v>
      </c>
      <c r="N49" s="20">
        <v>731600</v>
      </c>
      <c r="O49" s="20">
        <f t="shared" si="2"/>
        <v>173400</v>
      </c>
      <c r="P49" t="s">
        <v>31</v>
      </c>
    </row>
    <row r="50" spans="1:16">
      <c r="A50" t="s">
        <v>126</v>
      </c>
      <c r="B50" s="18">
        <v>45717</v>
      </c>
      <c r="C50" s="19">
        <f t="shared" si="0"/>
        <v>2025</v>
      </c>
      <c r="D50" s="19" t="str">
        <f t="shared" si="1"/>
        <v>Mar</v>
      </c>
      <c r="E50" t="s">
        <v>17</v>
      </c>
      <c r="F50" t="s">
        <v>18</v>
      </c>
      <c r="G50" t="s">
        <v>19</v>
      </c>
      <c r="H50" t="s">
        <v>74</v>
      </c>
      <c r="I50" t="s">
        <v>63</v>
      </c>
      <c r="J50" t="s">
        <v>41</v>
      </c>
      <c r="K50" t="s">
        <v>58</v>
      </c>
      <c r="L50" s="19">
        <v>1</v>
      </c>
      <c r="M50" s="20">
        <v>1381000</v>
      </c>
      <c r="N50" s="20">
        <v>1144900</v>
      </c>
      <c r="O50" s="20">
        <f t="shared" si="2"/>
        <v>236100</v>
      </c>
      <c r="P50" t="s">
        <v>24</v>
      </c>
    </row>
    <row r="51" spans="1:16">
      <c r="A51" t="s">
        <v>127</v>
      </c>
      <c r="B51" s="18">
        <v>45717</v>
      </c>
      <c r="C51" s="19">
        <f t="shared" si="0"/>
        <v>2025</v>
      </c>
      <c r="D51" s="19" t="str">
        <f t="shared" si="1"/>
        <v>Mar</v>
      </c>
      <c r="E51" t="s">
        <v>17</v>
      </c>
      <c r="F51" t="s">
        <v>18</v>
      </c>
      <c r="G51" t="s">
        <v>60</v>
      </c>
      <c r="H51" t="s">
        <v>61</v>
      </c>
      <c r="I51" t="s">
        <v>63</v>
      </c>
      <c r="J51" t="s">
        <v>41</v>
      </c>
      <c r="K51" t="s">
        <v>58</v>
      </c>
      <c r="L51" s="19">
        <v>1</v>
      </c>
      <c r="M51" s="20">
        <v>1381000</v>
      </c>
      <c r="N51" s="20">
        <v>1204800</v>
      </c>
      <c r="O51" s="20">
        <f t="shared" si="2"/>
        <v>176200</v>
      </c>
      <c r="P51" t="s">
        <v>31</v>
      </c>
    </row>
    <row r="52" spans="1:16">
      <c r="A52" t="s">
        <v>128</v>
      </c>
      <c r="B52" s="18">
        <v>45718</v>
      </c>
      <c r="C52" s="19">
        <f t="shared" si="0"/>
        <v>2025</v>
      </c>
      <c r="D52" s="19" t="str">
        <f t="shared" si="1"/>
        <v>Mar</v>
      </c>
      <c r="E52" t="s">
        <v>17</v>
      </c>
      <c r="F52" t="s">
        <v>51</v>
      </c>
      <c r="G52" t="s">
        <v>52</v>
      </c>
      <c r="H52" t="s">
        <v>53</v>
      </c>
      <c r="I52" t="s">
        <v>63</v>
      </c>
      <c r="J52" t="s">
        <v>41</v>
      </c>
      <c r="K52" t="s">
        <v>58</v>
      </c>
      <c r="L52" s="19">
        <v>1</v>
      </c>
      <c r="M52" s="20">
        <v>1387000</v>
      </c>
      <c r="N52" s="20">
        <v>1201300</v>
      </c>
      <c r="O52" s="20">
        <f t="shared" si="2"/>
        <v>185700</v>
      </c>
      <c r="P52" t="s">
        <v>24</v>
      </c>
    </row>
    <row r="53" spans="1:16">
      <c r="A53" t="s">
        <v>129</v>
      </c>
      <c r="B53" s="18">
        <v>45720</v>
      </c>
      <c r="C53" s="19">
        <f t="shared" si="0"/>
        <v>2025</v>
      </c>
      <c r="D53" s="19" t="str">
        <f t="shared" si="1"/>
        <v>Mar</v>
      </c>
      <c r="E53" t="s">
        <v>17</v>
      </c>
      <c r="F53" t="s">
        <v>51</v>
      </c>
      <c r="G53" t="s">
        <v>52</v>
      </c>
      <c r="H53" t="s">
        <v>53</v>
      </c>
      <c r="I53" t="s">
        <v>63</v>
      </c>
      <c r="J53" t="s">
        <v>41</v>
      </c>
      <c r="K53" t="s">
        <v>58</v>
      </c>
      <c r="L53" s="19">
        <v>1</v>
      </c>
      <c r="M53" s="20">
        <v>1404000</v>
      </c>
      <c r="N53" s="20">
        <v>1213900</v>
      </c>
      <c r="O53" s="20">
        <f t="shared" si="2"/>
        <v>190100</v>
      </c>
      <c r="P53" t="s">
        <v>24</v>
      </c>
    </row>
    <row r="54" spans="1:16">
      <c r="A54" t="s">
        <v>130</v>
      </c>
      <c r="B54" s="18">
        <v>45720</v>
      </c>
      <c r="C54" s="19">
        <f t="shared" si="0"/>
        <v>2025</v>
      </c>
      <c r="D54" s="19" t="str">
        <f t="shared" si="1"/>
        <v>Mar</v>
      </c>
      <c r="E54" t="s">
        <v>26</v>
      </c>
      <c r="F54" t="s">
        <v>131</v>
      </c>
      <c r="G54" t="s">
        <v>132</v>
      </c>
      <c r="H54" t="s">
        <v>133</v>
      </c>
      <c r="I54" t="s">
        <v>68</v>
      </c>
      <c r="J54" t="s">
        <v>49</v>
      </c>
      <c r="K54" t="s">
        <v>58</v>
      </c>
      <c r="L54" s="19">
        <v>2</v>
      </c>
      <c r="M54" s="20">
        <v>1872000</v>
      </c>
      <c r="N54" s="20">
        <v>1543200</v>
      </c>
      <c r="O54" s="20">
        <f t="shared" si="2"/>
        <v>328800</v>
      </c>
      <c r="P54" t="s">
        <v>24</v>
      </c>
    </row>
    <row r="55" spans="1:16">
      <c r="A55" t="s">
        <v>134</v>
      </c>
      <c r="B55" s="18">
        <v>45720</v>
      </c>
      <c r="C55" s="19">
        <f t="shared" si="0"/>
        <v>2025</v>
      </c>
      <c r="D55" s="19" t="str">
        <f t="shared" si="1"/>
        <v>Mar</v>
      </c>
      <c r="E55" t="s">
        <v>33</v>
      </c>
      <c r="F55" t="s">
        <v>81</v>
      </c>
      <c r="G55" t="s">
        <v>82</v>
      </c>
      <c r="H55" t="s">
        <v>83</v>
      </c>
      <c r="I55" t="s">
        <v>48</v>
      </c>
      <c r="J55" t="s">
        <v>49</v>
      </c>
      <c r="K55" t="s">
        <v>42</v>
      </c>
      <c r="L55" s="19">
        <v>1</v>
      </c>
      <c r="M55" s="20">
        <v>1218000</v>
      </c>
      <c r="N55" s="20">
        <v>1054800</v>
      </c>
      <c r="O55" s="20">
        <f t="shared" si="2"/>
        <v>163200</v>
      </c>
      <c r="P55" t="s">
        <v>78</v>
      </c>
    </row>
    <row r="56" spans="1:16">
      <c r="A56" t="s">
        <v>135</v>
      </c>
      <c r="B56" s="18">
        <v>45724</v>
      </c>
      <c r="C56" s="19">
        <f t="shared" si="0"/>
        <v>2025</v>
      </c>
      <c r="D56" s="19" t="str">
        <f t="shared" si="1"/>
        <v>Mar</v>
      </c>
      <c r="E56" t="s">
        <v>17</v>
      </c>
      <c r="F56" t="s">
        <v>18</v>
      </c>
      <c r="G56" t="s">
        <v>19</v>
      </c>
      <c r="H56" t="s">
        <v>74</v>
      </c>
      <c r="I56" t="s">
        <v>71</v>
      </c>
      <c r="J56" t="s">
        <v>49</v>
      </c>
      <c r="K56" t="s">
        <v>58</v>
      </c>
      <c r="L56" s="19">
        <v>1</v>
      </c>
      <c r="M56" s="20">
        <v>972000</v>
      </c>
      <c r="N56" s="20">
        <v>818500</v>
      </c>
      <c r="O56" s="20">
        <f t="shared" si="2"/>
        <v>153500</v>
      </c>
      <c r="P56" t="s">
        <v>24</v>
      </c>
    </row>
    <row r="57" spans="1:16">
      <c r="A57" t="s">
        <v>136</v>
      </c>
      <c r="B57" s="18">
        <v>45725</v>
      </c>
      <c r="C57" s="19">
        <f t="shared" si="0"/>
        <v>2025</v>
      </c>
      <c r="D57" s="19" t="str">
        <f t="shared" si="1"/>
        <v>Mar</v>
      </c>
      <c r="E57" t="s">
        <v>17</v>
      </c>
      <c r="F57" t="s">
        <v>18</v>
      </c>
      <c r="G57" t="s">
        <v>60</v>
      </c>
      <c r="H57" t="s">
        <v>61</v>
      </c>
      <c r="I57" t="s">
        <v>48</v>
      </c>
      <c r="J57" t="s">
        <v>49</v>
      </c>
      <c r="K57" t="s">
        <v>42</v>
      </c>
      <c r="L57" s="19">
        <v>2</v>
      </c>
      <c r="M57" s="20">
        <v>2437000</v>
      </c>
      <c r="N57" s="20">
        <v>2002400</v>
      </c>
      <c r="O57" s="20">
        <f t="shared" si="2"/>
        <v>434600</v>
      </c>
      <c r="P57" t="s">
        <v>54</v>
      </c>
    </row>
    <row r="58" spans="1:16">
      <c r="A58" t="s">
        <v>137</v>
      </c>
      <c r="B58" s="18">
        <v>45726</v>
      </c>
      <c r="C58" s="19">
        <f t="shared" si="0"/>
        <v>2025</v>
      </c>
      <c r="D58" s="19" t="str">
        <f t="shared" si="1"/>
        <v>Mar</v>
      </c>
      <c r="E58" t="s">
        <v>26</v>
      </c>
      <c r="F58" t="s">
        <v>65</v>
      </c>
      <c r="G58" t="s">
        <v>66</v>
      </c>
      <c r="H58" t="s">
        <v>67</v>
      </c>
      <c r="I58" t="s">
        <v>21</v>
      </c>
      <c r="J58" t="s">
        <v>22</v>
      </c>
      <c r="K58" t="s">
        <v>23</v>
      </c>
      <c r="L58" s="19">
        <v>1</v>
      </c>
      <c r="M58" s="20">
        <v>1783000</v>
      </c>
      <c r="N58" s="20">
        <v>1541700</v>
      </c>
      <c r="O58" s="20">
        <f t="shared" si="2"/>
        <v>241300</v>
      </c>
      <c r="P58" t="s">
        <v>37</v>
      </c>
    </row>
    <row r="59" spans="1:16">
      <c r="A59" t="s">
        <v>138</v>
      </c>
      <c r="B59" s="18">
        <v>45726</v>
      </c>
      <c r="C59" s="19">
        <f t="shared" si="0"/>
        <v>2025</v>
      </c>
      <c r="D59" s="19" t="str">
        <f t="shared" si="1"/>
        <v>Mar</v>
      </c>
      <c r="E59" t="s">
        <v>17</v>
      </c>
      <c r="F59" t="s">
        <v>51</v>
      </c>
      <c r="G59" t="s">
        <v>52</v>
      </c>
      <c r="H59" t="s">
        <v>53</v>
      </c>
      <c r="I59" t="s">
        <v>68</v>
      </c>
      <c r="J59" t="s">
        <v>49</v>
      </c>
      <c r="K59" t="s">
        <v>58</v>
      </c>
      <c r="L59" s="19">
        <v>1</v>
      </c>
      <c r="M59" s="20">
        <v>953000</v>
      </c>
      <c r="N59" s="20">
        <v>837100</v>
      </c>
      <c r="O59" s="20">
        <f t="shared" si="2"/>
        <v>115900</v>
      </c>
      <c r="P59" t="s">
        <v>24</v>
      </c>
    </row>
    <row r="60" spans="1:16">
      <c r="A60" t="s">
        <v>139</v>
      </c>
      <c r="B60" s="18">
        <v>45726</v>
      </c>
      <c r="C60" s="19">
        <f t="shared" si="0"/>
        <v>2025</v>
      </c>
      <c r="D60" s="19" t="str">
        <f t="shared" si="1"/>
        <v>Mar</v>
      </c>
      <c r="E60" t="s">
        <v>33</v>
      </c>
      <c r="F60" t="s">
        <v>34</v>
      </c>
      <c r="G60" t="s">
        <v>34</v>
      </c>
      <c r="H60" t="s">
        <v>102</v>
      </c>
      <c r="I60" t="s">
        <v>56</v>
      </c>
      <c r="J60" t="s">
        <v>57</v>
      </c>
      <c r="K60" t="s">
        <v>58</v>
      </c>
      <c r="L60" s="19">
        <v>1</v>
      </c>
      <c r="M60" s="20">
        <v>1195000</v>
      </c>
      <c r="N60" s="20">
        <v>1030700</v>
      </c>
      <c r="O60" s="20">
        <f t="shared" si="2"/>
        <v>164300</v>
      </c>
      <c r="P60" t="s">
        <v>24</v>
      </c>
    </row>
    <row r="61" spans="1:16">
      <c r="A61" t="s">
        <v>140</v>
      </c>
      <c r="B61" s="18">
        <v>45727</v>
      </c>
      <c r="C61" s="19">
        <f t="shared" si="0"/>
        <v>2025</v>
      </c>
      <c r="D61" s="19" t="str">
        <f t="shared" si="1"/>
        <v>Mar</v>
      </c>
      <c r="E61" t="s">
        <v>26</v>
      </c>
      <c r="F61" t="s">
        <v>131</v>
      </c>
      <c r="G61" t="s">
        <v>132</v>
      </c>
      <c r="H61" t="s">
        <v>133</v>
      </c>
      <c r="I61" t="s">
        <v>63</v>
      </c>
      <c r="J61" t="s">
        <v>41</v>
      </c>
      <c r="K61" t="s">
        <v>58</v>
      </c>
      <c r="L61" s="19">
        <v>1</v>
      </c>
      <c r="M61" s="20">
        <v>1371000</v>
      </c>
      <c r="N61" s="20">
        <v>1185500</v>
      </c>
      <c r="O61" s="20">
        <f t="shared" si="2"/>
        <v>185500</v>
      </c>
      <c r="P61" t="s">
        <v>37</v>
      </c>
    </row>
    <row r="62" spans="1:16">
      <c r="A62" t="s">
        <v>141</v>
      </c>
      <c r="B62" s="18">
        <v>45727</v>
      </c>
      <c r="C62" s="19">
        <f t="shared" si="0"/>
        <v>2025</v>
      </c>
      <c r="D62" s="19" t="str">
        <f t="shared" si="1"/>
        <v>Mar</v>
      </c>
      <c r="E62" t="s">
        <v>17</v>
      </c>
      <c r="F62" t="s">
        <v>51</v>
      </c>
      <c r="G62" t="s">
        <v>52</v>
      </c>
      <c r="H62" t="s">
        <v>70</v>
      </c>
      <c r="I62" t="s">
        <v>121</v>
      </c>
      <c r="J62" t="s">
        <v>57</v>
      </c>
      <c r="K62" t="s">
        <v>42</v>
      </c>
      <c r="L62" s="19">
        <v>1</v>
      </c>
      <c r="M62" s="20">
        <v>1568000</v>
      </c>
      <c r="N62" s="20">
        <v>1338600</v>
      </c>
      <c r="O62" s="20">
        <f t="shared" si="2"/>
        <v>229400</v>
      </c>
      <c r="P62" t="s">
        <v>31</v>
      </c>
    </row>
    <row r="63" spans="1:16">
      <c r="A63" t="s">
        <v>142</v>
      </c>
      <c r="B63" s="18">
        <v>45727</v>
      </c>
      <c r="C63" s="19">
        <f t="shared" si="0"/>
        <v>2025</v>
      </c>
      <c r="D63" s="19" t="str">
        <f t="shared" si="1"/>
        <v>Mar</v>
      </c>
      <c r="E63" t="s">
        <v>17</v>
      </c>
      <c r="F63" t="s">
        <v>51</v>
      </c>
      <c r="G63" t="s">
        <v>52</v>
      </c>
      <c r="H63" t="s">
        <v>70</v>
      </c>
      <c r="I63" t="s">
        <v>68</v>
      </c>
      <c r="J63" t="s">
        <v>49</v>
      </c>
      <c r="K63" t="s">
        <v>58</v>
      </c>
      <c r="L63" s="19">
        <v>1</v>
      </c>
      <c r="M63" s="20">
        <v>884000</v>
      </c>
      <c r="N63" s="20">
        <v>753000</v>
      </c>
      <c r="O63" s="20">
        <f t="shared" si="2"/>
        <v>131000</v>
      </c>
      <c r="P63" t="s">
        <v>37</v>
      </c>
    </row>
    <row r="64" spans="1:16">
      <c r="A64" t="s">
        <v>143</v>
      </c>
      <c r="B64" s="18">
        <v>45729</v>
      </c>
      <c r="C64" s="19">
        <f t="shared" si="0"/>
        <v>2025</v>
      </c>
      <c r="D64" s="19" t="str">
        <f t="shared" si="1"/>
        <v>Mar</v>
      </c>
      <c r="E64" t="s">
        <v>17</v>
      </c>
      <c r="F64" t="s">
        <v>51</v>
      </c>
      <c r="G64" t="s">
        <v>52</v>
      </c>
      <c r="H64" t="s">
        <v>70</v>
      </c>
      <c r="I64" t="s">
        <v>63</v>
      </c>
      <c r="J64" t="s">
        <v>41</v>
      </c>
      <c r="K64" t="s">
        <v>58</v>
      </c>
      <c r="L64" s="19">
        <v>1</v>
      </c>
      <c r="M64" s="20">
        <v>1381000</v>
      </c>
      <c r="N64" s="20">
        <v>1209900</v>
      </c>
      <c r="O64" s="20">
        <f t="shared" si="2"/>
        <v>171100</v>
      </c>
      <c r="P64" t="s">
        <v>78</v>
      </c>
    </row>
    <row r="65" spans="1:16">
      <c r="A65" t="s">
        <v>144</v>
      </c>
      <c r="B65" s="18">
        <v>45730</v>
      </c>
      <c r="C65" s="19">
        <f t="shared" si="0"/>
        <v>2025</v>
      </c>
      <c r="D65" s="19" t="str">
        <f t="shared" si="1"/>
        <v>Mar</v>
      </c>
      <c r="E65" t="s">
        <v>44</v>
      </c>
      <c r="F65" t="s">
        <v>45</v>
      </c>
      <c r="G65" t="s">
        <v>46</v>
      </c>
      <c r="H65" t="s">
        <v>47</v>
      </c>
      <c r="I65" t="s">
        <v>56</v>
      </c>
      <c r="J65" t="s">
        <v>57</v>
      </c>
      <c r="K65" t="s">
        <v>58</v>
      </c>
      <c r="L65" s="19">
        <v>1</v>
      </c>
      <c r="M65" s="20">
        <v>1208000</v>
      </c>
      <c r="N65" s="20">
        <v>994600</v>
      </c>
      <c r="O65" s="20">
        <f t="shared" si="2"/>
        <v>213400</v>
      </c>
      <c r="P65" t="s">
        <v>31</v>
      </c>
    </row>
    <row r="66" spans="1:16">
      <c r="A66" t="s">
        <v>145</v>
      </c>
      <c r="B66" s="18">
        <v>45730</v>
      </c>
      <c r="C66" s="19">
        <f t="shared" ref="C66:C129" si="3">YEAR(B66)</f>
        <v>2025</v>
      </c>
      <c r="D66" s="19" t="str">
        <f t="shared" ref="D66:D129" si="4">CHOOSE(MONTH(B66),"Jan","Feb","Mar","Apr","May","Jun","Jul","Aug","Sep","Oct","Nov","Dec")</f>
        <v>Mar</v>
      </c>
      <c r="E66" t="s">
        <v>26</v>
      </c>
      <c r="F66" t="s">
        <v>65</v>
      </c>
      <c r="G66" t="s">
        <v>66</v>
      </c>
      <c r="H66" t="s">
        <v>67</v>
      </c>
      <c r="I66" t="s">
        <v>68</v>
      </c>
      <c r="J66" t="s">
        <v>49</v>
      </c>
      <c r="K66" t="s">
        <v>58</v>
      </c>
      <c r="L66" s="19">
        <v>1</v>
      </c>
      <c r="M66" s="20">
        <v>940000</v>
      </c>
      <c r="N66" s="20">
        <v>787200</v>
      </c>
      <c r="O66" s="20">
        <f t="shared" ref="O66:O129" si="5">M66-N66</f>
        <v>152800</v>
      </c>
      <c r="P66" t="s">
        <v>31</v>
      </c>
    </row>
    <row r="67" spans="1:16">
      <c r="A67" t="s">
        <v>146</v>
      </c>
      <c r="B67" s="18">
        <v>45731</v>
      </c>
      <c r="C67" s="19">
        <f t="shared" si="3"/>
        <v>2025</v>
      </c>
      <c r="D67" s="19" t="str">
        <f t="shared" si="4"/>
        <v>Mar</v>
      </c>
      <c r="E67" t="s">
        <v>17</v>
      </c>
      <c r="F67" t="s">
        <v>18</v>
      </c>
      <c r="G67" t="s">
        <v>60</v>
      </c>
      <c r="H67" t="s">
        <v>61</v>
      </c>
      <c r="I67" t="s">
        <v>56</v>
      </c>
      <c r="J67" t="s">
        <v>57</v>
      </c>
      <c r="K67" t="s">
        <v>58</v>
      </c>
      <c r="L67" s="19">
        <v>1</v>
      </c>
      <c r="M67" s="20">
        <v>1227000</v>
      </c>
      <c r="N67" s="20">
        <v>999200</v>
      </c>
      <c r="O67" s="20">
        <f t="shared" si="5"/>
        <v>227800</v>
      </c>
      <c r="P67" t="s">
        <v>31</v>
      </c>
    </row>
    <row r="68" spans="1:16">
      <c r="A68" t="s">
        <v>147</v>
      </c>
      <c r="B68" s="18">
        <v>45731</v>
      </c>
      <c r="C68" s="19">
        <f t="shared" si="3"/>
        <v>2025</v>
      </c>
      <c r="D68" s="19" t="str">
        <f t="shared" si="4"/>
        <v>Mar</v>
      </c>
      <c r="E68" t="s">
        <v>17</v>
      </c>
      <c r="F68" t="s">
        <v>51</v>
      </c>
      <c r="G68" t="s">
        <v>98</v>
      </c>
      <c r="H68" t="s">
        <v>99</v>
      </c>
      <c r="I68" t="s">
        <v>68</v>
      </c>
      <c r="J68" t="s">
        <v>49</v>
      </c>
      <c r="K68" t="s">
        <v>58</v>
      </c>
      <c r="L68" s="19">
        <v>1</v>
      </c>
      <c r="M68" s="20">
        <v>928000</v>
      </c>
      <c r="N68" s="20">
        <v>775400</v>
      </c>
      <c r="O68" s="20">
        <f t="shared" si="5"/>
        <v>152600</v>
      </c>
      <c r="P68" t="s">
        <v>24</v>
      </c>
    </row>
    <row r="69" spans="1:16">
      <c r="A69" t="s">
        <v>148</v>
      </c>
      <c r="B69" s="18">
        <v>45733</v>
      </c>
      <c r="C69" s="19">
        <f t="shared" si="3"/>
        <v>2025</v>
      </c>
      <c r="D69" s="19" t="str">
        <f t="shared" si="4"/>
        <v>Mar</v>
      </c>
      <c r="E69" t="s">
        <v>33</v>
      </c>
      <c r="F69" t="s">
        <v>34</v>
      </c>
      <c r="G69" t="s">
        <v>34</v>
      </c>
      <c r="H69" t="s">
        <v>102</v>
      </c>
      <c r="I69" t="s">
        <v>56</v>
      </c>
      <c r="J69" t="s">
        <v>57</v>
      </c>
      <c r="K69" t="s">
        <v>58</v>
      </c>
      <c r="L69" s="19">
        <v>1</v>
      </c>
      <c r="M69" s="20">
        <v>1193000</v>
      </c>
      <c r="N69" s="20">
        <v>986800</v>
      </c>
      <c r="O69" s="20">
        <f t="shared" si="5"/>
        <v>206200</v>
      </c>
      <c r="P69" t="s">
        <v>37</v>
      </c>
    </row>
    <row r="70" spans="1:16">
      <c r="A70" t="s">
        <v>149</v>
      </c>
      <c r="B70" s="18">
        <v>45734</v>
      </c>
      <c r="C70" s="19">
        <f t="shared" si="3"/>
        <v>2025</v>
      </c>
      <c r="D70" s="19" t="str">
        <f t="shared" si="4"/>
        <v>Mar</v>
      </c>
      <c r="E70" t="s">
        <v>17</v>
      </c>
      <c r="F70" t="s">
        <v>51</v>
      </c>
      <c r="G70" t="s">
        <v>52</v>
      </c>
      <c r="H70" t="s">
        <v>53</v>
      </c>
      <c r="I70" t="s">
        <v>68</v>
      </c>
      <c r="J70" t="s">
        <v>49</v>
      </c>
      <c r="K70" t="s">
        <v>58</v>
      </c>
      <c r="L70" s="19">
        <v>1</v>
      </c>
      <c r="M70" s="20">
        <v>941000</v>
      </c>
      <c r="N70" s="20">
        <v>786400</v>
      </c>
      <c r="O70" s="20">
        <f t="shared" si="5"/>
        <v>154600</v>
      </c>
      <c r="P70" t="s">
        <v>31</v>
      </c>
    </row>
    <row r="71" spans="1:16">
      <c r="A71" t="s">
        <v>150</v>
      </c>
      <c r="B71" s="18">
        <v>45734</v>
      </c>
      <c r="C71" s="19">
        <f t="shared" si="3"/>
        <v>2025</v>
      </c>
      <c r="D71" s="19" t="str">
        <f t="shared" si="4"/>
        <v>Mar</v>
      </c>
      <c r="E71" t="s">
        <v>33</v>
      </c>
      <c r="F71" t="s">
        <v>81</v>
      </c>
      <c r="G71" t="s">
        <v>82</v>
      </c>
      <c r="H71" t="s">
        <v>83</v>
      </c>
      <c r="I71" t="s">
        <v>68</v>
      </c>
      <c r="J71" t="s">
        <v>49</v>
      </c>
      <c r="K71" t="s">
        <v>58</v>
      </c>
      <c r="L71" s="19">
        <v>1</v>
      </c>
      <c r="M71" s="20">
        <v>884000</v>
      </c>
      <c r="N71" s="20">
        <v>773800</v>
      </c>
      <c r="O71" s="20">
        <f t="shared" si="5"/>
        <v>110200</v>
      </c>
      <c r="P71" t="s">
        <v>24</v>
      </c>
    </row>
    <row r="72" spans="1:16">
      <c r="A72" t="s">
        <v>151</v>
      </c>
      <c r="B72" s="18">
        <v>45735</v>
      </c>
      <c r="C72" s="19">
        <f t="shared" si="3"/>
        <v>2025</v>
      </c>
      <c r="D72" s="19" t="str">
        <f t="shared" si="4"/>
        <v>Mar</v>
      </c>
      <c r="E72" t="s">
        <v>17</v>
      </c>
      <c r="F72" t="s">
        <v>51</v>
      </c>
      <c r="G72" t="s">
        <v>52</v>
      </c>
      <c r="H72" t="s">
        <v>70</v>
      </c>
      <c r="I72" t="s">
        <v>71</v>
      </c>
      <c r="J72" t="s">
        <v>49</v>
      </c>
      <c r="K72" t="s">
        <v>58</v>
      </c>
      <c r="L72" s="19">
        <v>1</v>
      </c>
      <c r="M72" s="20">
        <v>1014000</v>
      </c>
      <c r="N72" s="20">
        <v>830000</v>
      </c>
      <c r="O72" s="20">
        <f t="shared" si="5"/>
        <v>184000</v>
      </c>
      <c r="P72" t="s">
        <v>24</v>
      </c>
    </row>
    <row r="73" spans="1:16">
      <c r="A73" t="s">
        <v>152</v>
      </c>
      <c r="B73" s="18">
        <v>45735</v>
      </c>
      <c r="C73" s="19">
        <f t="shared" si="3"/>
        <v>2025</v>
      </c>
      <c r="D73" s="19" t="str">
        <f t="shared" si="4"/>
        <v>Mar</v>
      </c>
      <c r="E73" t="s">
        <v>33</v>
      </c>
      <c r="F73" t="s">
        <v>34</v>
      </c>
      <c r="G73" t="s">
        <v>34</v>
      </c>
      <c r="H73" t="s">
        <v>102</v>
      </c>
      <c r="I73" t="s">
        <v>68</v>
      </c>
      <c r="J73" t="s">
        <v>49</v>
      </c>
      <c r="K73" t="s">
        <v>58</v>
      </c>
      <c r="L73" s="19">
        <v>1</v>
      </c>
      <c r="M73" s="20">
        <v>936000</v>
      </c>
      <c r="N73" s="20">
        <v>761300</v>
      </c>
      <c r="O73" s="20">
        <f t="shared" si="5"/>
        <v>174700</v>
      </c>
      <c r="P73" t="s">
        <v>54</v>
      </c>
    </row>
    <row r="74" spans="1:16">
      <c r="A74" t="s">
        <v>153</v>
      </c>
      <c r="B74" s="18">
        <v>45735</v>
      </c>
      <c r="C74" s="19">
        <f t="shared" si="3"/>
        <v>2025</v>
      </c>
      <c r="D74" s="19" t="str">
        <f t="shared" si="4"/>
        <v>Mar</v>
      </c>
      <c r="E74" t="s">
        <v>26</v>
      </c>
      <c r="F74" t="s">
        <v>131</v>
      </c>
      <c r="G74" t="s">
        <v>132</v>
      </c>
      <c r="H74" t="s">
        <v>133</v>
      </c>
      <c r="I74" t="s">
        <v>71</v>
      </c>
      <c r="J74" t="s">
        <v>49</v>
      </c>
      <c r="K74" t="s">
        <v>58</v>
      </c>
      <c r="L74" s="19">
        <v>1</v>
      </c>
      <c r="M74" s="20">
        <v>988000</v>
      </c>
      <c r="N74" s="20">
        <v>795400</v>
      </c>
      <c r="O74" s="20">
        <f t="shared" si="5"/>
        <v>192600</v>
      </c>
      <c r="P74" t="s">
        <v>31</v>
      </c>
    </row>
    <row r="75" spans="1:16">
      <c r="A75" t="s">
        <v>154</v>
      </c>
      <c r="B75" s="18">
        <v>45737</v>
      </c>
      <c r="C75" s="19">
        <f t="shared" si="3"/>
        <v>2025</v>
      </c>
      <c r="D75" s="19" t="str">
        <f t="shared" si="4"/>
        <v>Mar</v>
      </c>
      <c r="E75" t="s">
        <v>17</v>
      </c>
      <c r="F75" t="s">
        <v>51</v>
      </c>
      <c r="G75" t="s">
        <v>52</v>
      </c>
      <c r="H75" t="s">
        <v>53</v>
      </c>
      <c r="I75" t="s">
        <v>68</v>
      </c>
      <c r="J75" t="s">
        <v>49</v>
      </c>
      <c r="K75" t="s">
        <v>58</v>
      </c>
      <c r="L75" s="19">
        <v>1</v>
      </c>
      <c r="M75" s="20">
        <v>888000</v>
      </c>
      <c r="N75" s="20">
        <v>740000</v>
      </c>
      <c r="O75" s="20">
        <f t="shared" si="5"/>
        <v>148000</v>
      </c>
      <c r="P75" t="s">
        <v>31</v>
      </c>
    </row>
    <row r="76" spans="1:16">
      <c r="A76" t="s">
        <v>155</v>
      </c>
      <c r="B76" s="18">
        <v>45739</v>
      </c>
      <c r="C76" s="19">
        <f t="shared" si="3"/>
        <v>2025</v>
      </c>
      <c r="D76" s="19" t="str">
        <f t="shared" si="4"/>
        <v>Mar</v>
      </c>
      <c r="E76" t="s">
        <v>33</v>
      </c>
      <c r="F76" t="s">
        <v>34</v>
      </c>
      <c r="G76" t="s">
        <v>34</v>
      </c>
      <c r="H76" t="s">
        <v>102</v>
      </c>
      <c r="I76" t="s">
        <v>71</v>
      </c>
      <c r="J76" t="s">
        <v>49</v>
      </c>
      <c r="K76" t="s">
        <v>58</v>
      </c>
      <c r="L76" s="19">
        <v>1</v>
      </c>
      <c r="M76" s="20">
        <v>1045000</v>
      </c>
      <c r="N76" s="20">
        <v>860100</v>
      </c>
      <c r="O76" s="20">
        <f t="shared" si="5"/>
        <v>184900</v>
      </c>
      <c r="P76" t="s">
        <v>72</v>
      </c>
    </row>
    <row r="77" spans="1:16">
      <c r="A77" t="s">
        <v>156</v>
      </c>
      <c r="B77" s="18">
        <v>45740</v>
      </c>
      <c r="C77" s="19">
        <f t="shared" si="3"/>
        <v>2025</v>
      </c>
      <c r="D77" s="19" t="str">
        <f t="shared" si="4"/>
        <v>Mar</v>
      </c>
      <c r="E77" t="s">
        <v>33</v>
      </c>
      <c r="F77" t="s">
        <v>81</v>
      </c>
      <c r="G77" t="s">
        <v>82</v>
      </c>
      <c r="H77" t="s">
        <v>83</v>
      </c>
      <c r="I77" t="s">
        <v>56</v>
      </c>
      <c r="J77" t="s">
        <v>57</v>
      </c>
      <c r="K77" t="s">
        <v>58</v>
      </c>
      <c r="L77" s="19">
        <v>1</v>
      </c>
      <c r="M77" s="20">
        <v>1207000</v>
      </c>
      <c r="N77" s="20">
        <v>1012600</v>
      </c>
      <c r="O77" s="20">
        <f t="shared" si="5"/>
        <v>194400</v>
      </c>
      <c r="P77" t="s">
        <v>54</v>
      </c>
    </row>
    <row r="78" spans="1:16">
      <c r="A78" t="s">
        <v>157</v>
      </c>
      <c r="B78" s="18">
        <v>45741</v>
      </c>
      <c r="C78" s="19">
        <f t="shared" si="3"/>
        <v>2025</v>
      </c>
      <c r="D78" s="19" t="str">
        <f t="shared" si="4"/>
        <v>Mar</v>
      </c>
      <c r="E78" t="s">
        <v>26</v>
      </c>
      <c r="F78" t="s">
        <v>27</v>
      </c>
      <c r="G78" t="s">
        <v>28</v>
      </c>
      <c r="H78" t="s">
        <v>39</v>
      </c>
      <c r="I78" t="s">
        <v>71</v>
      </c>
      <c r="J78" t="s">
        <v>49</v>
      </c>
      <c r="K78" t="s">
        <v>58</v>
      </c>
      <c r="L78" s="19">
        <v>1</v>
      </c>
      <c r="M78" s="20">
        <v>995000</v>
      </c>
      <c r="N78" s="20">
        <v>798200</v>
      </c>
      <c r="O78" s="20">
        <f t="shared" si="5"/>
        <v>196800</v>
      </c>
      <c r="P78" t="s">
        <v>37</v>
      </c>
    </row>
    <row r="79" spans="1:16">
      <c r="A79" t="s">
        <v>158</v>
      </c>
      <c r="B79" s="18">
        <v>45742</v>
      </c>
      <c r="C79" s="19">
        <f t="shared" si="3"/>
        <v>2025</v>
      </c>
      <c r="D79" s="19" t="str">
        <f t="shared" si="4"/>
        <v>Mar</v>
      </c>
      <c r="E79" t="s">
        <v>17</v>
      </c>
      <c r="F79" t="s">
        <v>51</v>
      </c>
      <c r="G79" t="s">
        <v>52</v>
      </c>
      <c r="H79" t="s">
        <v>53</v>
      </c>
      <c r="I79" t="s">
        <v>121</v>
      </c>
      <c r="J79" t="s">
        <v>57</v>
      </c>
      <c r="K79" t="s">
        <v>42</v>
      </c>
      <c r="L79" s="19">
        <v>1</v>
      </c>
      <c r="M79" s="20">
        <v>1576000</v>
      </c>
      <c r="N79" s="20">
        <v>1372000</v>
      </c>
      <c r="O79" s="20">
        <f t="shared" si="5"/>
        <v>204000</v>
      </c>
      <c r="P79" t="s">
        <v>54</v>
      </c>
    </row>
    <row r="80" spans="1:16">
      <c r="A80" t="s">
        <v>159</v>
      </c>
      <c r="B80" s="18">
        <v>45742</v>
      </c>
      <c r="C80" s="19">
        <f t="shared" si="3"/>
        <v>2025</v>
      </c>
      <c r="D80" s="19" t="str">
        <f t="shared" si="4"/>
        <v>Mar</v>
      </c>
      <c r="E80" t="s">
        <v>26</v>
      </c>
      <c r="F80" t="s">
        <v>131</v>
      </c>
      <c r="G80" t="s">
        <v>132</v>
      </c>
      <c r="H80" t="s">
        <v>133</v>
      </c>
      <c r="I80" t="s">
        <v>71</v>
      </c>
      <c r="J80" t="s">
        <v>49</v>
      </c>
      <c r="K80" t="s">
        <v>58</v>
      </c>
      <c r="L80" s="19">
        <v>2</v>
      </c>
      <c r="M80" s="20">
        <v>1940000</v>
      </c>
      <c r="N80" s="20">
        <v>1580800</v>
      </c>
      <c r="O80" s="20">
        <f t="shared" si="5"/>
        <v>359200</v>
      </c>
      <c r="P80" t="s">
        <v>78</v>
      </c>
    </row>
    <row r="81" spans="1:16">
      <c r="A81" t="s">
        <v>160</v>
      </c>
      <c r="B81" s="18">
        <v>45743</v>
      </c>
      <c r="C81" s="19">
        <f t="shared" si="3"/>
        <v>2025</v>
      </c>
      <c r="D81" s="19" t="str">
        <f t="shared" si="4"/>
        <v>Mar</v>
      </c>
      <c r="E81" t="s">
        <v>17</v>
      </c>
      <c r="F81" t="s">
        <v>51</v>
      </c>
      <c r="G81" t="s">
        <v>52</v>
      </c>
      <c r="H81" t="s">
        <v>70</v>
      </c>
      <c r="I81" t="s">
        <v>56</v>
      </c>
      <c r="J81" t="s">
        <v>57</v>
      </c>
      <c r="K81" t="s">
        <v>58</v>
      </c>
      <c r="L81" s="19">
        <v>1</v>
      </c>
      <c r="M81" s="20">
        <v>1185000</v>
      </c>
      <c r="N81" s="20">
        <v>963900</v>
      </c>
      <c r="O81" s="20">
        <f t="shared" si="5"/>
        <v>221100</v>
      </c>
      <c r="P81" t="s">
        <v>31</v>
      </c>
    </row>
    <row r="82" spans="1:16">
      <c r="A82" t="s">
        <v>161</v>
      </c>
      <c r="B82" s="18">
        <v>45745</v>
      </c>
      <c r="C82" s="19">
        <f t="shared" si="3"/>
        <v>2025</v>
      </c>
      <c r="D82" s="19" t="str">
        <f t="shared" si="4"/>
        <v>Mar</v>
      </c>
      <c r="E82" t="s">
        <v>17</v>
      </c>
      <c r="F82" t="s">
        <v>18</v>
      </c>
      <c r="G82" t="s">
        <v>60</v>
      </c>
      <c r="H82" t="s">
        <v>61</v>
      </c>
      <c r="I82" t="s">
        <v>71</v>
      </c>
      <c r="J82" t="s">
        <v>49</v>
      </c>
      <c r="K82" t="s">
        <v>58</v>
      </c>
      <c r="L82" s="19">
        <v>1</v>
      </c>
      <c r="M82" s="20">
        <v>1026000</v>
      </c>
      <c r="N82" s="20">
        <v>859600</v>
      </c>
      <c r="O82" s="20">
        <f t="shared" si="5"/>
        <v>166400</v>
      </c>
      <c r="P82" t="s">
        <v>54</v>
      </c>
    </row>
    <row r="83" spans="1:16">
      <c r="A83" t="s">
        <v>162</v>
      </c>
      <c r="B83" s="18">
        <v>45745</v>
      </c>
      <c r="C83" s="19">
        <f t="shared" si="3"/>
        <v>2025</v>
      </c>
      <c r="D83" s="19" t="str">
        <f t="shared" si="4"/>
        <v>Mar</v>
      </c>
      <c r="E83" t="s">
        <v>44</v>
      </c>
      <c r="F83" t="s">
        <v>45</v>
      </c>
      <c r="G83" t="s">
        <v>46</v>
      </c>
      <c r="H83" t="s">
        <v>47</v>
      </c>
      <c r="I83" t="s">
        <v>56</v>
      </c>
      <c r="J83" t="s">
        <v>57</v>
      </c>
      <c r="K83" t="s">
        <v>58</v>
      </c>
      <c r="L83" s="19">
        <v>1</v>
      </c>
      <c r="M83" s="20">
        <v>1179000</v>
      </c>
      <c r="N83" s="20">
        <v>967100</v>
      </c>
      <c r="O83" s="20">
        <f t="shared" si="5"/>
        <v>211900</v>
      </c>
      <c r="P83" t="s">
        <v>31</v>
      </c>
    </row>
    <row r="84" spans="1:16">
      <c r="A84" t="s">
        <v>163</v>
      </c>
      <c r="B84" s="18">
        <v>45746</v>
      </c>
      <c r="C84" s="19">
        <f t="shared" si="3"/>
        <v>2025</v>
      </c>
      <c r="D84" s="19" t="str">
        <f t="shared" si="4"/>
        <v>Mar</v>
      </c>
      <c r="E84" t="s">
        <v>26</v>
      </c>
      <c r="F84" t="s">
        <v>27</v>
      </c>
      <c r="G84" t="s">
        <v>28</v>
      </c>
      <c r="H84" t="s">
        <v>29</v>
      </c>
      <c r="I84" t="s">
        <v>121</v>
      </c>
      <c r="J84" t="s">
        <v>57</v>
      </c>
      <c r="K84" t="s">
        <v>42</v>
      </c>
      <c r="L84" s="19">
        <v>2</v>
      </c>
      <c r="M84" s="20">
        <v>3075000</v>
      </c>
      <c r="N84" s="20">
        <v>2612000</v>
      </c>
      <c r="O84" s="20">
        <f t="shared" si="5"/>
        <v>463000</v>
      </c>
      <c r="P84" t="s">
        <v>24</v>
      </c>
    </row>
    <row r="85" spans="1:16">
      <c r="A85" t="s">
        <v>164</v>
      </c>
      <c r="B85" s="18">
        <v>45748</v>
      </c>
      <c r="C85" s="19">
        <f t="shared" si="3"/>
        <v>2025</v>
      </c>
      <c r="D85" s="19" t="str">
        <f t="shared" si="4"/>
        <v>Apr</v>
      </c>
      <c r="E85" t="s">
        <v>17</v>
      </c>
      <c r="F85" t="s">
        <v>18</v>
      </c>
      <c r="G85" t="s">
        <v>19</v>
      </c>
      <c r="H85" t="s">
        <v>74</v>
      </c>
      <c r="I85" t="s">
        <v>121</v>
      </c>
      <c r="J85" t="s">
        <v>57</v>
      </c>
      <c r="K85" t="s">
        <v>42</v>
      </c>
      <c r="L85" s="19">
        <v>1</v>
      </c>
      <c r="M85" s="20">
        <v>1563000</v>
      </c>
      <c r="N85" s="20">
        <v>1355800</v>
      </c>
      <c r="O85" s="20">
        <f t="shared" si="5"/>
        <v>207200</v>
      </c>
      <c r="P85" t="s">
        <v>78</v>
      </c>
    </row>
    <row r="86" spans="1:16">
      <c r="A86" t="s">
        <v>165</v>
      </c>
      <c r="B86" s="18">
        <v>45749</v>
      </c>
      <c r="C86" s="19">
        <f t="shared" si="3"/>
        <v>2025</v>
      </c>
      <c r="D86" s="19" t="str">
        <f t="shared" si="4"/>
        <v>Apr</v>
      </c>
      <c r="E86" t="s">
        <v>17</v>
      </c>
      <c r="F86" t="s">
        <v>51</v>
      </c>
      <c r="G86" t="s">
        <v>98</v>
      </c>
      <c r="H86" t="s">
        <v>99</v>
      </c>
      <c r="I86" t="s">
        <v>40</v>
      </c>
      <c r="J86" t="s">
        <v>41</v>
      </c>
      <c r="K86" t="s">
        <v>42</v>
      </c>
      <c r="L86" s="19">
        <v>1</v>
      </c>
      <c r="M86" s="20">
        <v>1701000</v>
      </c>
      <c r="N86" s="20">
        <v>1385400</v>
      </c>
      <c r="O86" s="20">
        <f t="shared" si="5"/>
        <v>315600</v>
      </c>
      <c r="P86" t="s">
        <v>24</v>
      </c>
    </row>
    <row r="87" spans="1:16">
      <c r="A87" t="s">
        <v>166</v>
      </c>
      <c r="B87" s="18">
        <v>45749</v>
      </c>
      <c r="C87" s="19">
        <f t="shared" si="3"/>
        <v>2025</v>
      </c>
      <c r="D87" s="19" t="str">
        <f t="shared" si="4"/>
        <v>Apr</v>
      </c>
      <c r="E87" t="s">
        <v>33</v>
      </c>
      <c r="F87" t="s">
        <v>34</v>
      </c>
      <c r="G87" t="s">
        <v>34</v>
      </c>
      <c r="H87" t="s">
        <v>35</v>
      </c>
      <c r="I87" t="s">
        <v>68</v>
      </c>
      <c r="J87" t="s">
        <v>49</v>
      </c>
      <c r="K87" t="s">
        <v>58</v>
      </c>
      <c r="L87" s="19">
        <v>1</v>
      </c>
      <c r="M87" s="20">
        <v>947000</v>
      </c>
      <c r="N87" s="20">
        <v>787000</v>
      </c>
      <c r="O87" s="20">
        <f t="shared" si="5"/>
        <v>160000</v>
      </c>
      <c r="P87" t="s">
        <v>31</v>
      </c>
    </row>
    <row r="88" spans="1:16">
      <c r="A88" t="s">
        <v>167</v>
      </c>
      <c r="B88" s="18">
        <v>45749</v>
      </c>
      <c r="C88" s="19">
        <f t="shared" si="3"/>
        <v>2025</v>
      </c>
      <c r="D88" s="19" t="str">
        <f t="shared" si="4"/>
        <v>Apr</v>
      </c>
      <c r="E88" t="s">
        <v>26</v>
      </c>
      <c r="F88" t="s">
        <v>27</v>
      </c>
      <c r="G88" t="s">
        <v>28</v>
      </c>
      <c r="H88" t="s">
        <v>29</v>
      </c>
      <c r="I88" t="s">
        <v>56</v>
      </c>
      <c r="J88" t="s">
        <v>57</v>
      </c>
      <c r="K88" t="s">
        <v>58</v>
      </c>
      <c r="L88" s="19">
        <v>1</v>
      </c>
      <c r="M88" s="20">
        <v>1203000</v>
      </c>
      <c r="N88" s="20">
        <v>1040100</v>
      </c>
      <c r="O88" s="20">
        <f t="shared" si="5"/>
        <v>162900</v>
      </c>
      <c r="P88" t="s">
        <v>54</v>
      </c>
    </row>
    <row r="89" spans="1:16">
      <c r="A89" t="s">
        <v>168</v>
      </c>
      <c r="B89" s="18">
        <v>45750</v>
      </c>
      <c r="C89" s="19">
        <f t="shared" si="3"/>
        <v>2025</v>
      </c>
      <c r="D89" s="19" t="str">
        <f t="shared" si="4"/>
        <v>Apr</v>
      </c>
      <c r="E89" t="s">
        <v>26</v>
      </c>
      <c r="F89" t="s">
        <v>131</v>
      </c>
      <c r="G89" t="s">
        <v>132</v>
      </c>
      <c r="H89" t="s">
        <v>133</v>
      </c>
      <c r="I89" t="s">
        <v>68</v>
      </c>
      <c r="J89" t="s">
        <v>49</v>
      </c>
      <c r="K89" t="s">
        <v>58</v>
      </c>
      <c r="L89" s="19">
        <v>1</v>
      </c>
      <c r="M89" s="20">
        <v>952000</v>
      </c>
      <c r="N89" s="20">
        <v>801000</v>
      </c>
      <c r="O89" s="20">
        <f t="shared" si="5"/>
        <v>151000</v>
      </c>
      <c r="P89" t="s">
        <v>31</v>
      </c>
    </row>
    <row r="90" spans="1:16">
      <c r="A90" t="s">
        <v>169</v>
      </c>
      <c r="B90" s="18">
        <v>45750</v>
      </c>
      <c r="C90" s="19">
        <f t="shared" si="3"/>
        <v>2025</v>
      </c>
      <c r="D90" s="19" t="str">
        <f t="shared" si="4"/>
        <v>Apr</v>
      </c>
      <c r="E90" t="s">
        <v>44</v>
      </c>
      <c r="F90" t="s">
        <v>45</v>
      </c>
      <c r="G90" t="s">
        <v>46</v>
      </c>
      <c r="H90" t="s">
        <v>47</v>
      </c>
      <c r="I90" t="s">
        <v>68</v>
      </c>
      <c r="J90" t="s">
        <v>49</v>
      </c>
      <c r="K90" t="s">
        <v>58</v>
      </c>
      <c r="L90" s="19">
        <v>1</v>
      </c>
      <c r="M90" s="20">
        <v>917000</v>
      </c>
      <c r="N90" s="20">
        <v>743900</v>
      </c>
      <c r="O90" s="20">
        <f t="shared" si="5"/>
        <v>173100</v>
      </c>
      <c r="P90" t="s">
        <v>31</v>
      </c>
    </row>
    <row r="91" spans="1:16">
      <c r="A91" t="s">
        <v>170</v>
      </c>
      <c r="B91" s="18">
        <v>45751</v>
      </c>
      <c r="C91" s="19">
        <f t="shared" si="3"/>
        <v>2025</v>
      </c>
      <c r="D91" s="19" t="str">
        <f t="shared" si="4"/>
        <v>Apr</v>
      </c>
      <c r="E91" t="s">
        <v>33</v>
      </c>
      <c r="F91" t="s">
        <v>81</v>
      </c>
      <c r="G91" t="s">
        <v>82</v>
      </c>
      <c r="H91" t="s">
        <v>83</v>
      </c>
      <c r="I91" t="s">
        <v>171</v>
      </c>
      <c r="J91" t="s">
        <v>22</v>
      </c>
      <c r="K91" t="s">
        <v>42</v>
      </c>
      <c r="L91" s="19">
        <v>1</v>
      </c>
      <c r="M91" s="20">
        <v>6513000</v>
      </c>
      <c r="N91" s="20">
        <v>5580700</v>
      </c>
      <c r="O91" s="20">
        <f t="shared" si="5"/>
        <v>932300</v>
      </c>
      <c r="P91" t="s">
        <v>72</v>
      </c>
    </row>
    <row r="92" spans="1:16">
      <c r="A92" t="s">
        <v>172</v>
      </c>
      <c r="B92" s="18">
        <v>45751</v>
      </c>
      <c r="C92" s="19">
        <f t="shared" si="3"/>
        <v>2025</v>
      </c>
      <c r="D92" s="19" t="str">
        <f t="shared" si="4"/>
        <v>Apr</v>
      </c>
      <c r="E92" t="s">
        <v>17</v>
      </c>
      <c r="F92" t="s">
        <v>51</v>
      </c>
      <c r="G92" t="s">
        <v>52</v>
      </c>
      <c r="H92" t="s">
        <v>53</v>
      </c>
      <c r="I92" t="s">
        <v>68</v>
      </c>
      <c r="J92" t="s">
        <v>49</v>
      </c>
      <c r="K92" t="s">
        <v>58</v>
      </c>
      <c r="L92" s="19">
        <v>1</v>
      </c>
      <c r="M92" s="20">
        <v>911000</v>
      </c>
      <c r="N92" s="20">
        <v>796400</v>
      </c>
      <c r="O92" s="20">
        <f t="shared" si="5"/>
        <v>114600</v>
      </c>
      <c r="P92" t="s">
        <v>31</v>
      </c>
    </row>
    <row r="93" spans="1:16">
      <c r="A93" t="s">
        <v>173</v>
      </c>
      <c r="B93" s="18">
        <v>45751</v>
      </c>
      <c r="C93" s="19">
        <f t="shared" si="3"/>
        <v>2025</v>
      </c>
      <c r="D93" s="19" t="str">
        <f t="shared" si="4"/>
        <v>Apr</v>
      </c>
      <c r="E93" t="s">
        <v>26</v>
      </c>
      <c r="F93" t="s">
        <v>65</v>
      </c>
      <c r="G93" t="s">
        <v>66</v>
      </c>
      <c r="H93" t="s">
        <v>67</v>
      </c>
      <c r="I93" t="s">
        <v>56</v>
      </c>
      <c r="J93" t="s">
        <v>57</v>
      </c>
      <c r="K93" t="s">
        <v>58</v>
      </c>
      <c r="L93" s="19">
        <v>1</v>
      </c>
      <c r="M93" s="20">
        <v>1176000</v>
      </c>
      <c r="N93" s="20">
        <v>1021700</v>
      </c>
      <c r="O93" s="20">
        <f t="shared" si="5"/>
        <v>154300</v>
      </c>
      <c r="P93" t="s">
        <v>31</v>
      </c>
    </row>
    <row r="94" spans="1:16">
      <c r="A94" t="s">
        <v>174</v>
      </c>
      <c r="B94" s="18">
        <v>45752</v>
      </c>
      <c r="C94" s="19">
        <f t="shared" si="3"/>
        <v>2025</v>
      </c>
      <c r="D94" s="19" t="str">
        <f t="shared" si="4"/>
        <v>Apr</v>
      </c>
      <c r="E94" t="s">
        <v>26</v>
      </c>
      <c r="F94" t="s">
        <v>65</v>
      </c>
      <c r="G94" t="s">
        <v>66</v>
      </c>
      <c r="H94" t="s">
        <v>67</v>
      </c>
      <c r="I94" t="s">
        <v>71</v>
      </c>
      <c r="J94" t="s">
        <v>49</v>
      </c>
      <c r="K94" t="s">
        <v>58</v>
      </c>
      <c r="L94" s="19">
        <v>1</v>
      </c>
      <c r="M94" s="20">
        <v>996000</v>
      </c>
      <c r="N94" s="20">
        <v>863000</v>
      </c>
      <c r="O94" s="20">
        <f t="shared" si="5"/>
        <v>133000</v>
      </c>
      <c r="P94" t="s">
        <v>72</v>
      </c>
    </row>
    <row r="95" spans="1:16">
      <c r="A95" t="s">
        <v>175</v>
      </c>
      <c r="B95" s="18">
        <v>45752</v>
      </c>
      <c r="C95" s="19">
        <f t="shared" si="3"/>
        <v>2025</v>
      </c>
      <c r="D95" s="19" t="str">
        <f t="shared" si="4"/>
        <v>Apr</v>
      </c>
      <c r="E95" t="s">
        <v>17</v>
      </c>
      <c r="F95" t="s">
        <v>18</v>
      </c>
      <c r="G95" t="s">
        <v>19</v>
      </c>
      <c r="H95" t="s">
        <v>74</v>
      </c>
      <c r="I95" t="s">
        <v>68</v>
      </c>
      <c r="J95" t="s">
        <v>49</v>
      </c>
      <c r="K95" t="s">
        <v>58</v>
      </c>
      <c r="L95" s="19">
        <v>1</v>
      </c>
      <c r="M95" s="20">
        <v>894000</v>
      </c>
      <c r="N95" s="20">
        <v>734900</v>
      </c>
      <c r="O95" s="20">
        <f t="shared" si="5"/>
        <v>159100</v>
      </c>
      <c r="P95" t="s">
        <v>72</v>
      </c>
    </row>
    <row r="96" spans="1:16">
      <c r="A96" t="s">
        <v>176</v>
      </c>
      <c r="B96" s="18">
        <v>45752</v>
      </c>
      <c r="C96" s="19">
        <f t="shared" si="3"/>
        <v>2025</v>
      </c>
      <c r="D96" s="19" t="str">
        <f t="shared" si="4"/>
        <v>Apr</v>
      </c>
      <c r="E96" t="s">
        <v>33</v>
      </c>
      <c r="F96" t="s">
        <v>34</v>
      </c>
      <c r="G96" t="s">
        <v>34</v>
      </c>
      <c r="H96" t="s">
        <v>35</v>
      </c>
      <c r="I96" t="s">
        <v>68</v>
      </c>
      <c r="J96" t="s">
        <v>49</v>
      </c>
      <c r="K96" t="s">
        <v>58</v>
      </c>
      <c r="L96" s="19">
        <v>1</v>
      </c>
      <c r="M96" s="20">
        <v>897000</v>
      </c>
      <c r="N96" s="20">
        <v>750400</v>
      </c>
      <c r="O96" s="20">
        <f t="shared" si="5"/>
        <v>146600</v>
      </c>
      <c r="P96" t="s">
        <v>24</v>
      </c>
    </row>
    <row r="97" spans="1:16">
      <c r="A97" t="s">
        <v>177</v>
      </c>
      <c r="B97" s="18">
        <v>45752</v>
      </c>
      <c r="C97" s="19">
        <f t="shared" si="3"/>
        <v>2025</v>
      </c>
      <c r="D97" s="19" t="str">
        <f t="shared" si="4"/>
        <v>Apr</v>
      </c>
      <c r="E97" t="s">
        <v>44</v>
      </c>
      <c r="F97" t="s">
        <v>45</v>
      </c>
      <c r="G97" t="s">
        <v>46</v>
      </c>
      <c r="H97" t="s">
        <v>47</v>
      </c>
      <c r="I97" t="s">
        <v>68</v>
      </c>
      <c r="J97" t="s">
        <v>49</v>
      </c>
      <c r="K97" t="s">
        <v>58</v>
      </c>
      <c r="L97" s="19">
        <v>1</v>
      </c>
      <c r="M97" s="20">
        <v>956000</v>
      </c>
      <c r="N97" s="20">
        <v>818200</v>
      </c>
      <c r="O97" s="20">
        <f t="shared" si="5"/>
        <v>137800</v>
      </c>
      <c r="P97" t="s">
        <v>31</v>
      </c>
    </row>
    <row r="98" spans="1:16">
      <c r="A98" t="s">
        <v>178</v>
      </c>
      <c r="B98" s="18">
        <v>45753</v>
      </c>
      <c r="C98" s="19">
        <f t="shared" si="3"/>
        <v>2025</v>
      </c>
      <c r="D98" s="19" t="str">
        <f t="shared" si="4"/>
        <v>Apr</v>
      </c>
      <c r="E98" t="s">
        <v>26</v>
      </c>
      <c r="F98" t="s">
        <v>131</v>
      </c>
      <c r="G98" t="s">
        <v>132</v>
      </c>
      <c r="H98" t="s">
        <v>133</v>
      </c>
      <c r="I98" t="s">
        <v>40</v>
      </c>
      <c r="J98" t="s">
        <v>41</v>
      </c>
      <c r="K98" t="s">
        <v>42</v>
      </c>
      <c r="L98" s="19">
        <v>1</v>
      </c>
      <c r="M98" s="20">
        <v>1736000</v>
      </c>
      <c r="N98" s="20">
        <v>1444700</v>
      </c>
      <c r="O98" s="20">
        <f t="shared" si="5"/>
        <v>291300</v>
      </c>
      <c r="P98" t="s">
        <v>72</v>
      </c>
    </row>
    <row r="99" spans="1:16">
      <c r="A99" t="s">
        <v>179</v>
      </c>
      <c r="B99" s="18">
        <v>45753</v>
      </c>
      <c r="C99" s="19">
        <f t="shared" si="3"/>
        <v>2025</v>
      </c>
      <c r="D99" s="19" t="str">
        <f t="shared" si="4"/>
        <v>Apr</v>
      </c>
      <c r="E99" t="s">
        <v>17</v>
      </c>
      <c r="F99" t="s">
        <v>51</v>
      </c>
      <c r="G99" t="s">
        <v>98</v>
      </c>
      <c r="H99" t="s">
        <v>99</v>
      </c>
      <c r="I99" t="s">
        <v>63</v>
      </c>
      <c r="J99" t="s">
        <v>41</v>
      </c>
      <c r="K99" t="s">
        <v>58</v>
      </c>
      <c r="L99" s="19">
        <v>1</v>
      </c>
      <c r="M99" s="20">
        <v>1399000</v>
      </c>
      <c r="N99" s="20">
        <v>1144400</v>
      </c>
      <c r="O99" s="20">
        <f t="shared" si="5"/>
        <v>254600</v>
      </c>
      <c r="P99" t="s">
        <v>54</v>
      </c>
    </row>
    <row r="100" spans="1:16">
      <c r="A100" t="s">
        <v>180</v>
      </c>
      <c r="B100" s="18">
        <v>45754</v>
      </c>
      <c r="C100" s="19">
        <f t="shared" si="3"/>
        <v>2025</v>
      </c>
      <c r="D100" s="19" t="str">
        <f t="shared" si="4"/>
        <v>Apr</v>
      </c>
      <c r="E100" t="s">
        <v>33</v>
      </c>
      <c r="F100" t="s">
        <v>34</v>
      </c>
      <c r="G100" t="s">
        <v>34</v>
      </c>
      <c r="H100" t="s">
        <v>35</v>
      </c>
      <c r="I100" t="s">
        <v>48</v>
      </c>
      <c r="J100" t="s">
        <v>49</v>
      </c>
      <c r="K100" t="s">
        <v>42</v>
      </c>
      <c r="L100" s="19">
        <v>1</v>
      </c>
      <c r="M100" s="20">
        <v>1285000</v>
      </c>
      <c r="N100" s="20">
        <v>1029300</v>
      </c>
      <c r="O100" s="20">
        <f t="shared" si="5"/>
        <v>255700</v>
      </c>
      <c r="P100" t="s">
        <v>24</v>
      </c>
    </row>
    <row r="101" spans="1:16">
      <c r="A101" t="s">
        <v>181</v>
      </c>
      <c r="B101" s="18">
        <v>45754</v>
      </c>
      <c r="C101" s="19">
        <f t="shared" si="3"/>
        <v>2025</v>
      </c>
      <c r="D101" s="19" t="str">
        <f t="shared" si="4"/>
        <v>Apr</v>
      </c>
      <c r="E101" t="s">
        <v>26</v>
      </c>
      <c r="F101" t="s">
        <v>27</v>
      </c>
      <c r="G101" t="s">
        <v>28</v>
      </c>
      <c r="H101" t="s">
        <v>29</v>
      </c>
      <c r="I101" t="s">
        <v>68</v>
      </c>
      <c r="J101" t="s">
        <v>49</v>
      </c>
      <c r="K101" t="s">
        <v>58</v>
      </c>
      <c r="L101" s="19">
        <v>1</v>
      </c>
      <c r="M101" s="20">
        <v>924000</v>
      </c>
      <c r="N101" s="20">
        <v>771600</v>
      </c>
      <c r="O101" s="20">
        <f t="shared" si="5"/>
        <v>152400</v>
      </c>
      <c r="P101" t="s">
        <v>31</v>
      </c>
    </row>
    <row r="102" spans="1:16">
      <c r="A102" t="s">
        <v>182</v>
      </c>
      <c r="B102" s="18">
        <v>45754</v>
      </c>
      <c r="C102" s="19">
        <f t="shared" si="3"/>
        <v>2025</v>
      </c>
      <c r="D102" s="19" t="str">
        <f t="shared" si="4"/>
        <v>Apr</v>
      </c>
      <c r="E102" t="s">
        <v>17</v>
      </c>
      <c r="F102" t="s">
        <v>51</v>
      </c>
      <c r="G102" t="s">
        <v>52</v>
      </c>
      <c r="H102" t="s">
        <v>70</v>
      </c>
      <c r="I102" t="s">
        <v>71</v>
      </c>
      <c r="J102" t="s">
        <v>49</v>
      </c>
      <c r="K102" t="s">
        <v>58</v>
      </c>
      <c r="L102" s="19">
        <v>1</v>
      </c>
      <c r="M102" s="20">
        <v>974000</v>
      </c>
      <c r="N102" s="20">
        <v>783500</v>
      </c>
      <c r="O102" s="20">
        <f t="shared" si="5"/>
        <v>190500</v>
      </c>
      <c r="P102" t="s">
        <v>54</v>
      </c>
    </row>
    <row r="103" spans="1:16">
      <c r="A103" t="s">
        <v>183</v>
      </c>
      <c r="B103" s="18">
        <v>45755</v>
      </c>
      <c r="C103" s="19">
        <f t="shared" si="3"/>
        <v>2025</v>
      </c>
      <c r="D103" s="19" t="str">
        <f t="shared" si="4"/>
        <v>Apr</v>
      </c>
      <c r="E103" t="s">
        <v>17</v>
      </c>
      <c r="F103" t="s">
        <v>51</v>
      </c>
      <c r="G103" t="s">
        <v>98</v>
      </c>
      <c r="H103" t="s">
        <v>99</v>
      </c>
      <c r="I103" t="s">
        <v>121</v>
      </c>
      <c r="J103" t="s">
        <v>57</v>
      </c>
      <c r="K103" t="s">
        <v>42</v>
      </c>
      <c r="L103" s="19">
        <v>1</v>
      </c>
      <c r="M103" s="20">
        <v>1582000</v>
      </c>
      <c r="N103" s="20">
        <v>1379600</v>
      </c>
      <c r="O103" s="20">
        <f t="shared" si="5"/>
        <v>202400</v>
      </c>
      <c r="P103" t="s">
        <v>24</v>
      </c>
    </row>
    <row r="104" spans="1:16">
      <c r="A104" t="s">
        <v>184</v>
      </c>
      <c r="B104" s="18">
        <v>45755</v>
      </c>
      <c r="C104" s="19">
        <f t="shared" si="3"/>
        <v>2025</v>
      </c>
      <c r="D104" s="19" t="str">
        <f t="shared" si="4"/>
        <v>Apr</v>
      </c>
      <c r="E104" t="s">
        <v>17</v>
      </c>
      <c r="F104" t="s">
        <v>51</v>
      </c>
      <c r="G104" t="s">
        <v>52</v>
      </c>
      <c r="H104" t="s">
        <v>53</v>
      </c>
      <c r="I104" t="s">
        <v>68</v>
      </c>
      <c r="J104" t="s">
        <v>49</v>
      </c>
      <c r="K104" t="s">
        <v>58</v>
      </c>
      <c r="L104" s="19">
        <v>1</v>
      </c>
      <c r="M104" s="20">
        <v>901000</v>
      </c>
      <c r="N104" s="20">
        <v>774900</v>
      </c>
      <c r="O104" s="20">
        <f t="shared" si="5"/>
        <v>126100</v>
      </c>
      <c r="P104" t="s">
        <v>31</v>
      </c>
    </row>
    <row r="105" spans="1:16">
      <c r="A105" t="s">
        <v>185</v>
      </c>
      <c r="B105" s="18">
        <v>45755</v>
      </c>
      <c r="C105" s="19">
        <f t="shared" si="3"/>
        <v>2025</v>
      </c>
      <c r="D105" s="19" t="str">
        <f t="shared" si="4"/>
        <v>Apr</v>
      </c>
      <c r="E105" t="s">
        <v>33</v>
      </c>
      <c r="F105" t="s">
        <v>34</v>
      </c>
      <c r="G105" t="s">
        <v>34</v>
      </c>
      <c r="H105" t="s">
        <v>102</v>
      </c>
      <c r="I105" t="s">
        <v>21</v>
      </c>
      <c r="J105" t="s">
        <v>22</v>
      </c>
      <c r="K105" t="s">
        <v>23</v>
      </c>
      <c r="L105" s="19">
        <v>1</v>
      </c>
      <c r="M105" s="20">
        <v>1891000</v>
      </c>
      <c r="N105" s="20">
        <v>1586800</v>
      </c>
      <c r="O105" s="20">
        <f t="shared" si="5"/>
        <v>304200</v>
      </c>
      <c r="P105" t="s">
        <v>54</v>
      </c>
    </row>
    <row r="106" spans="1:16">
      <c r="A106" t="s">
        <v>186</v>
      </c>
      <c r="B106" s="18">
        <v>45756</v>
      </c>
      <c r="C106" s="19">
        <f t="shared" si="3"/>
        <v>2025</v>
      </c>
      <c r="D106" s="19" t="str">
        <f t="shared" si="4"/>
        <v>Apr</v>
      </c>
      <c r="E106" t="s">
        <v>26</v>
      </c>
      <c r="F106" t="s">
        <v>27</v>
      </c>
      <c r="G106" t="s">
        <v>28</v>
      </c>
      <c r="H106" t="s">
        <v>29</v>
      </c>
      <c r="I106" t="s">
        <v>71</v>
      </c>
      <c r="J106" t="s">
        <v>49</v>
      </c>
      <c r="K106" t="s">
        <v>58</v>
      </c>
      <c r="L106" s="19">
        <v>1</v>
      </c>
      <c r="M106" s="20">
        <v>1006000</v>
      </c>
      <c r="N106" s="20">
        <v>853400</v>
      </c>
      <c r="O106" s="20">
        <f t="shared" si="5"/>
        <v>152600</v>
      </c>
      <c r="P106" t="s">
        <v>24</v>
      </c>
    </row>
    <row r="107" spans="1:16">
      <c r="A107" t="s">
        <v>187</v>
      </c>
      <c r="B107" s="18">
        <v>45757</v>
      </c>
      <c r="C107" s="19">
        <f t="shared" si="3"/>
        <v>2025</v>
      </c>
      <c r="D107" s="19" t="str">
        <f t="shared" si="4"/>
        <v>Apr</v>
      </c>
      <c r="E107" t="s">
        <v>26</v>
      </c>
      <c r="F107" t="s">
        <v>27</v>
      </c>
      <c r="G107" t="s">
        <v>28</v>
      </c>
      <c r="H107" t="s">
        <v>29</v>
      </c>
      <c r="I107" t="s">
        <v>63</v>
      </c>
      <c r="J107" t="s">
        <v>41</v>
      </c>
      <c r="K107" t="s">
        <v>58</v>
      </c>
      <c r="L107" s="19">
        <v>1</v>
      </c>
      <c r="M107" s="20">
        <v>1340000</v>
      </c>
      <c r="N107" s="20">
        <v>1111300</v>
      </c>
      <c r="O107" s="20">
        <f t="shared" si="5"/>
        <v>228700</v>
      </c>
      <c r="P107" t="s">
        <v>31</v>
      </c>
    </row>
    <row r="108" spans="1:16">
      <c r="A108" t="s">
        <v>188</v>
      </c>
      <c r="B108" s="18">
        <v>45757</v>
      </c>
      <c r="C108" s="19">
        <f t="shared" si="3"/>
        <v>2025</v>
      </c>
      <c r="D108" s="19" t="str">
        <f t="shared" si="4"/>
        <v>Apr</v>
      </c>
      <c r="E108" t="s">
        <v>17</v>
      </c>
      <c r="F108" t="s">
        <v>51</v>
      </c>
      <c r="G108" t="s">
        <v>52</v>
      </c>
      <c r="H108" t="s">
        <v>53</v>
      </c>
      <c r="I108" t="s">
        <v>68</v>
      </c>
      <c r="J108" t="s">
        <v>49</v>
      </c>
      <c r="K108" t="s">
        <v>58</v>
      </c>
      <c r="L108" s="19">
        <v>1</v>
      </c>
      <c r="M108" s="20">
        <v>938000</v>
      </c>
      <c r="N108" s="20">
        <v>815800</v>
      </c>
      <c r="O108" s="20">
        <f t="shared" si="5"/>
        <v>122200</v>
      </c>
      <c r="P108" t="s">
        <v>31</v>
      </c>
    </row>
    <row r="109" spans="1:16">
      <c r="A109" t="s">
        <v>189</v>
      </c>
      <c r="B109" s="18">
        <v>45760</v>
      </c>
      <c r="C109" s="19">
        <f t="shared" si="3"/>
        <v>2025</v>
      </c>
      <c r="D109" s="19" t="str">
        <f t="shared" si="4"/>
        <v>Apr</v>
      </c>
      <c r="E109" t="s">
        <v>17</v>
      </c>
      <c r="F109" t="s">
        <v>51</v>
      </c>
      <c r="G109" t="s">
        <v>98</v>
      </c>
      <c r="H109" t="s">
        <v>99</v>
      </c>
      <c r="I109" t="s">
        <v>68</v>
      </c>
      <c r="J109" t="s">
        <v>49</v>
      </c>
      <c r="K109" t="s">
        <v>58</v>
      </c>
      <c r="L109" s="19">
        <v>1</v>
      </c>
      <c r="M109" s="20">
        <v>931000</v>
      </c>
      <c r="N109" s="20">
        <v>779300</v>
      </c>
      <c r="O109" s="20">
        <f t="shared" si="5"/>
        <v>151700</v>
      </c>
      <c r="P109" t="s">
        <v>37</v>
      </c>
    </row>
    <row r="110" spans="1:16">
      <c r="A110" t="s">
        <v>190</v>
      </c>
      <c r="B110" s="18">
        <v>45761</v>
      </c>
      <c r="C110" s="19">
        <f t="shared" si="3"/>
        <v>2025</v>
      </c>
      <c r="D110" s="19" t="str">
        <f t="shared" si="4"/>
        <v>Apr</v>
      </c>
      <c r="E110" t="s">
        <v>17</v>
      </c>
      <c r="F110" t="s">
        <v>18</v>
      </c>
      <c r="G110" t="s">
        <v>60</v>
      </c>
      <c r="H110" t="s">
        <v>61</v>
      </c>
      <c r="I110" t="s">
        <v>63</v>
      </c>
      <c r="J110" t="s">
        <v>41</v>
      </c>
      <c r="K110" t="s">
        <v>58</v>
      </c>
      <c r="L110" s="19">
        <v>1</v>
      </c>
      <c r="M110" s="20">
        <v>1395000</v>
      </c>
      <c r="N110" s="20">
        <v>1133200</v>
      </c>
      <c r="O110" s="20">
        <f t="shared" si="5"/>
        <v>261800</v>
      </c>
      <c r="P110" t="s">
        <v>37</v>
      </c>
    </row>
    <row r="111" spans="1:16">
      <c r="A111" t="s">
        <v>191</v>
      </c>
      <c r="B111" s="18">
        <v>45761</v>
      </c>
      <c r="C111" s="19">
        <f t="shared" si="3"/>
        <v>2025</v>
      </c>
      <c r="D111" s="19" t="str">
        <f t="shared" si="4"/>
        <v>Apr</v>
      </c>
      <c r="E111" t="s">
        <v>17</v>
      </c>
      <c r="F111" t="s">
        <v>18</v>
      </c>
      <c r="G111" t="s">
        <v>19</v>
      </c>
      <c r="H111" t="s">
        <v>20</v>
      </c>
      <c r="I111" t="s">
        <v>48</v>
      </c>
      <c r="J111" t="s">
        <v>49</v>
      </c>
      <c r="K111" t="s">
        <v>42</v>
      </c>
      <c r="L111" s="19">
        <v>1</v>
      </c>
      <c r="M111" s="20">
        <v>1209000</v>
      </c>
      <c r="N111" s="20">
        <v>984200</v>
      </c>
      <c r="O111" s="20">
        <f t="shared" si="5"/>
        <v>224800</v>
      </c>
      <c r="P111" t="s">
        <v>72</v>
      </c>
    </row>
    <row r="112" spans="1:16">
      <c r="A112" t="s">
        <v>192</v>
      </c>
      <c r="B112" s="18">
        <v>45762</v>
      </c>
      <c r="C112" s="19">
        <f t="shared" si="3"/>
        <v>2025</v>
      </c>
      <c r="D112" s="19" t="str">
        <f t="shared" si="4"/>
        <v>Apr</v>
      </c>
      <c r="E112" t="s">
        <v>26</v>
      </c>
      <c r="F112" t="s">
        <v>65</v>
      </c>
      <c r="G112" t="s">
        <v>66</v>
      </c>
      <c r="H112" t="s">
        <v>67</v>
      </c>
      <c r="I112" t="s">
        <v>40</v>
      </c>
      <c r="J112" t="s">
        <v>41</v>
      </c>
      <c r="K112" t="s">
        <v>42</v>
      </c>
      <c r="L112" s="19">
        <v>1</v>
      </c>
      <c r="M112" s="20">
        <v>1742000</v>
      </c>
      <c r="N112" s="20">
        <v>1425600</v>
      </c>
      <c r="O112" s="20">
        <f t="shared" si="5"/>
        <v>316400</v>
      </c>
      <c r="P112" t="s">
        <v>37</v>
      </c>
    </row>
    <row r="113" spans="1:16">
      <c r="A113" t="s">
        <v>193</v>
      </c>
      <c r="B113" s="18">
        <v>45762</v>
      </c>
      <c r="C113" s="19">
        <f t="shared" si="3"/>
        <v>2025</v>
      </c>
      <c r="D113" s="19" t="str">
        <f t="shared" si="4"/>
        <v>Apr</v>
      </c>
      <c r="E113" t="s">
        <v>17</v>
      </c>
      <c r="F113" t="s">
        <v>51</v>
      </c>
      <c r="G113" t="s">
        <v>52</v>
      </c>
      <c r="H113" t="s">
        <v>53</v>
      </c>
      <c r="I113" t="s">
        <v>171</v>
      </c>
      <c r="J113" t="s">
        <v>22</v>
      </c>
      <c r="K113" t="s">
        <v>42</v>
      </c>
      <c r="L113" s="19">
        <v>1</v>
      </c>
      <c r="M113" s="20">
        <v>6400000</v>
      </c>
      <c r="N113" s="20">
        <v>5356500</v>
      </c>
      <c r="O113" s="20">
        <f t="shared" si="5"/>
        <v>1043500</v>
      </c>
      <c r="P113" t="s">
        <v>24</v>
      </c>
    </row>
    <row r="114" spans="1:16">
      <c r="A114" t="s">
        <v>194</v>
      </c>
      <c r="B114" s="18">
        <v>45763</v>
      </c>
      <c r="C114" s="19">
        <f t="shared" si="3"/>
        <v>2025</v>
      </c>
      <c r="D114" s="19" t="str">
        <f t="shared" si="4"/>
        <v>Apr</v>
      </c>
      <c r="E114" t="s">
        <v>33</v>
      </c>
      <c r="F114" t="s">
        <v>34</v>
      </c>
      <c r="G114" t="s">
        <v>34</v>
      </c>
      <c r="H114" t="s">
        <v>102</v>
      </c>
      <c r="I114" t="s">
        <v>48</v>
      </c>
      <c r="J114" t="s">
        <v>49</v>
      </c>
      <c r="K114" t="s">
        <v>42</v>
      </c>
      <c r="L114" s="19">
        <v>1</v>
      </c>
      <c r="M114" s="20">
        <v>1214000</v>
      </c>
      <c r="N114" s="20">
        <v>997800</v>
      </c>
      <c r="O114" s="20">
        <f t="shared" si="5"/>
        <v>216200</v>
      </c>
      <c r="P114" t="s">
        <v>37</v>
      </c>
    </row>
    <row r="115" spans="1:16">
      <c r="A115" t="s">
        <v>195</v>
      </c>
      <c r="B115" s="18">
        <v>45763</v>
      </c>
      <c r="C115" s="19">
        <f t="shared" si="3"/>
        <v>2025</v>
      </c>
      <c r="D115" s="19" t="str">
        <f t="shared" si="4"/>
        <v>Apr</v>
      </c>
      <c r="E115" t="s">
        <v>33</v>
      </c>
      <c r="F115" t="s">
        <v>34</v>
      </c>
      <c r="G115" t="s">
        <v>34</v>
      </c>
      <c r="H115" t="s">
        <v>102</v>
      </c>
      <c r="I115" t="s">
        <v>63</v>
      </c>
      <c r="J115" t="s">
        <v>41</v>
      </c>
      <c r="K115" t="s">
        <v>58</v>
      </c>
      <c r="L115" s="19">
        <v>1</v>
      </c>
      <c r="M115" s="20">
        <v>1399000</v>
      </c>
      <c r="N115" s="20">
        <v>1155500</v>
      </c>
      <c r="O115" s="20">
        <f t="shared" si="5"/>
        <v>243500</v>
      </c>
      <c r="P115" t="s">
        <v>31</v>
      </c>
    </row>
    <row r="116" spans="1:16">
      <c r="A116" t="s">
        <v>196</v>
      </c>
      <c r="B116" s="18">
        <v>45766</v>
      </c>
      <c r="C116" s="19">
        <f t="shared" si="3"/>
        <v>2025</v>
      </c>
      <c r="D116" s="19" t="str">
        <f t="shared" si="4"/>
        <v>Apr</v>
      </c>
      <c r="E116" t="s">
        <v>33</v>
      </c>
      <c r="F116" t="s">
        <v>34</v>
      </c>
      <c r="G116" t="s">
        <v>34</v>
      </c>
      <c r="H116" t="s">
        <v>35</v>
      </c>
      <c r="I116" t="s">
        <v>63</v>
      </c>
      <c r="J116" t="s">
        <v>41</v>
      </c>
      <c r="K116" t="s">
        <v>58</v>
      </c>
      <c r="L116" s="19">
        <v>1</v>
      </c>
      <c r="M116" s="20">
        <v>1389000</v>
      </c>
      <c r="N116" s="20">
        <v>1197900</v>
      </c>
      <c r="O116" s="20">
        <f t="shared" si="5"/>
        <v>191100</v>
      </c>
      <c r="P116" t="s">
        <v>31</v>
      </c>
    </row>
    <row r="117" spans="1:16">
      <c r="A117" t="s">
        <v>197</v>
      </c>
      <c r="B117" s="18">
        <v>45766</v>
      </c>
      <c r="C117" s="19">
        <f t="shared" si="3"/>
        <v>2025</v>
      </c>
      <c r="D117" s="19" t="str">
        <f t="shared" si="4"/>
        <v>Apr</v>
      </c>
      <c r="E117" t="s">
        <v>26</v>
      </c>
      <c r="F117" t="s">
        <v>27</v>
      </c>
      <c r="G117" t="s">
        <v>28</v>
      </c>
      <c r="H117" t="s">
        <v>39</v>
      </c>
      <c r="I117" t="s">
        <v>121</v>
      </c>
      <c r="J117" t="s">
        <v>57</v>
      </c>
      <c r="K117" t="s">
        <v>42</v>
      </c>
      <c r="L117" s="19">
        <v>1</v>
      </c>
      <c r="M117" s="20">
        <v>1570000</v>
      </c>
      <c r="N117" s="20">
        <v>1309400</v>
      </c>
      <c r="O117" s="20">
        <f t="shared" si="5"/>
        <v>260600</v>
      </c>
      <c r="P117" t="s">
        <v>31</v>
      </c>
    </row>
    <row r="118" spans="1:16">
      <c r="A118" t="s">
        <v>198</v>
      </c>
      <c r="B118" s="18">
        <v>45767</v>
      </c>
      <c r="C118" s="19">
        <f t="shared" si="3"/>
        <v>2025</v>
      </c>
      <c r="D118" s="19" t="str">
        <f t="shared" si="4"/>
        <v>Apr</v>
      </c>
      <c r="E118" t="s">
        <v>17</v>
      </c>
      <c r="F118" t="s">
        <v>51</v>
      </c>
      <c r="G118" t="s">
        <v>52</v>
      </c>
      <c r="H118" t="s">
        <v>70</v>
      </c>
      <c r="I118" t="s">
        <v>63</v>
      </c>
      <c r="J118" t="s">
        <v>41</v>
      </c>
      <c r="K118" t="s">
        <v>58</v>
      </c>
      <c r="L118" s="19">
        <v>1</v>
      </c>
      <c r="M118" s="20">
        <v>1385000</v>
      </c>
      <c r="N118" s="20">
        <v>1202100</v>
      </c>
      <c r="O118" s="20">
        <f t="shared" si="5"/>
        <v>182900</v>
      </c>
      <c r="P118" t="s">
        <v>24</v>
      </c>
    </row>
    <row r="119" spans="1:16">
      <c r="A119" t="s">
        <v>199</v>
      </c>
      <c r="B119" s="18">
        <v>45767</v>
      </c>
      <c r="C119" s="19">
        <f t="shared" si="3"/>
        <v>2025</v>
      </c>
      <c r="D119" s="19" t="str">
        <f t="shared" si="4"/>
        <v>Apr</v>
      </c>
      <c r="E119" t="s">
        <v>33</v>
      </c>
      <c r="F119" t="s">
        <v>81</v>
      </c>
      <c r="G119" t="s">
        <v>82</v>
      </c>
      <c r="H119" t="s">
        <v>83</v>
      </c>
      <c r="I119" t="s">
        <v>68</v>
      </c>
      <c r="J119" t="s">
        <v>49</v>
      </c>
      <c r="K119" t="s">
        <v>58</v>
      </c>
      <c r="L119" s="19">
        <v>1</v>
      </c>
      <c r="M119" s="20">
        <v>930000</v>
      </c>
      <c r="N119" s="20">
        <v>812700</v>
      </c>
      <c r="O119" s="20">
        <f t="shared" si="5"/>
        <v>117300</v>
      </c>
      <c r="P119" t="s">
        <v>24</v>
      </c>
    </row>
    <row r="120" spans="1:16">
      <c r="A120" t="s">
        <v>200</v>
      </c>
      <c r="B120" s="18">
        <v>45768</v>
      </c>
      <c r="C120" s="19">
        <f t="shared" si="3"/>
        <v>2025</v>
      </c>
      <c r="D120" s="19" t="str">
        <f t="shared" si="4"/>
        <v>Apr</v>
      </c>
      <c r="E120" t="s">
        <v>33</v>
      </c>
      <c r="F120" t="s">
        <v>92</v>
      </c>
      <c r="G120" t="s">
        <v>93</v>
      </c>
      <c r="H120" t="s">
        <v>94</v>
      </c>
      <c r="I120" t="s">
        <v>63</v>
      </c>
      <c r="J120" t="s">
        <v>41</v>
      </c>
      <c r="K120" t="s">
        <v>58</v>
      </c>
      <c r="L120" s="19">
        <v>2</v>
      </c>
      <c r="M120" s="20">
        <v>2781000</v>
      </c>
      <c r="N120" s="20">
        <v>2423500</v>
      </c>
      <c r="O120" s="20">
        <f t="shared" si="5"/>
        <v>357500</v>
      </c>
      <c r="P120" t="s">
        <v>72</v>
      </c>
    </row>
    <row r="121" spans="1:16">
      <c r="A121" t="s">
        <v>201</v>
      </c>
      <c r="B121" s="18">
        <v>45769</v>
      </c>
      <c r="C121" s="19">
        <f t="shared" si="3"/>
        <v>2025</v>
      </c>
      <c r="D121" s="19" t="str">
        <f t="shared" si="4"/>
        <v>Apr</v>
      </c>
      <c r="E121" t="s">
        <v>26</v>
      </c>
      <c r="F121" t="s">
        <v>131</v>
      </c>
      <c r="G121" t="s">
        <v>132</v>
      </c>
      <c r="H121" t="s">
        <v>133</v>
      </c>
      <c r="I121" t="s">
        <v>63</v>
      </c>
      <c r="J121" t="s">
        <v>41</v>
      </c>
      <c r="K121" t="s">
        <v>58</v>
      </c>
      <c r="L121" s="19">
        <v>1</v>
      </c>
      <c r="M121" s="20">
        <v>1303000</v>
      </c>
      <c r="N121" s="20">
        <v>1125600</v>
      </c>
      <c r="O121" s="20">
        <f t="shared" si="5"/>
        <v>177400</v>
      </c>
      <c r="P121" t="s">
        <v>31</v>
      </c>
    </row>
    <row r="122" spans="1:16">
      <c r="A122" t="s">
        <v>202</v>
      </c>
      <c r="B122" s="18">
        <v>45769</v>
      </c>
      <c r="C122" s="19">
        <f t="shared" si="3"/>
        <v>2025</v>
      </c>
      <c r="D122" s="19" t="str">
        <f t="shared" si="4"/>
        <v>Apr</v>
      </c>
      <c r="E122" t="s">
        <v>33</v>
      </c>
      <c r="F122" t="s">
        <v>34</v>
      </c>
      <c r="G122" t="s">
        <v>34</v>
      </c>
      <c r="H122" t="s">
        <v>102</v>
      </c>
      <c r="I122" t="s">
        <v>71</v>
      </c>
      <c r="J122" t="s">
        <v>49</v>
      </c>
      <c r="K122" t="s">
        <v>58</v>
      </c>
      <c r="L122" s="19">
        <v>1</v>
      </c>
      <c r="M122" s="20">
        <v>1040000</v>
      </c>
      <c r="N122" s="20">
        <v>914300</v>
      </c>
      <c r="O122" s="20">
        <f t="shared" si="5"/>
        <v>125700</v>
      </c>
      <c r="P122" t="s">
        <v>24</v>
      </c>
    </row>
    <row r="123" spans="1:16">
      <c r="A123" t="s">
        <v>203</v>
      </c>
      <c r="B123" s="18">
        <v>45771</v>
      </c>
      <c r="C123" s="19">
        <f t="shared" si="3"/>
        <v>2025</v>
      </c>
      <c r="D123" s="19" t="str">
        <f t="shared" si="4"/>
        <v>Apr</v>
      </c>
      <c r="E123" t="s">
        <v>17</v>
      </c>
      <c r="F123" t="s">
        <v>51</v>
      </c>
      <c r="G123" t="s">
        <v>52</v>
      </c>
      <c r="H123" t="s">
        <v>53</v>
      </c>
      <c r="I123" t="s">
        <v>68</v>
      </c>
      <c r="J123" t="s">
        <v>49</v>
      </c>
      <c r="K123" t="s">
        <v>58</v>
      </c>
      <c r="L123" s="19">
        <v>1</v>
      </c>
      <c r="M123" s="20">
        <v>915000</v>
      </c>
      <c r="N123" s="20">
        <v>753700</v>
      </c>
      <c r="O123" s="20">
        <f t="shared" si="5"/>
        <v>161300</v>
      </c>
      <c r="P123" t="s">
        <v>24</v>
      </c>
    </row>
    <row r="124" spans="1:16">
      <c r="A124" t="s">
        <v>204</v>
      </c>
      <c r="B124" s="18">
        <v>45773</v>
      </c>
      <c r="C124" s="19">
        <f t="shared" si="3"/>
        <v>2025</v>
      </c>
      <c r="D124" s="19" t="str">
        <f t="shared" si="4"/>
        <v>Apr</v>
      </c>
      <c r="E124" t="s">
        <v>17</v>
      </c>
      <c r="F124" t="s">
        <v>18</v>
      </c>
      <c r="G124" t="s">
        <v>19</v>
      </c>
      <c r="H124" t="s">
        <v>74</v>
      </c>
      <c r="I124" t="s">
        <v>21</v>
      </c>
      <c r="J124" t="s">
        <v>22</v>
      </c>
      <c r="K124" t="s">
        <v>23</v>
      </c>
      <c r="L124" s="19">
        <v>1</v>
      </c>
      <c r="M124" s="20">
        <v>1803000</v>
      </c>
      <c r="N124" s="20">
        <v>1551600</v>
      </c>
      <c r="O124" s="20">
        <f t="shared" si="5"/>
        <v>251400</v>
      </c>
      <c r="P124" t="s">
        <v>31</v>
      </c>
    </row>
    <row r="125" spans="1:16">
      <c r="A125" t="s">
        <v>205</v>
      </c>
      <c r="B125" s="18">
        <v>45774</v>
      </c>
      <c r="C125" s="19">
        <f t="shared" si="3"/>
        <v>2025</v>
      </c>
      <c r="D125" s="19" t="str">
        <f t="shared" si="4"/>
        <v>Apr</v>
      </c>
      <c r="E125" t="s">
        <v>33</v>
      </c>
      <c r="F125" t="s">
        <v>34</v>
      </c>
      <c r="G125" t="s">
        <v>34</v>
      </c>
      <c r="H125" t="s">
        <v>35</v>
      </c>
      <c r="I125" t="s">
        <v>40</v>
      </c>
      <c r="J125" t="s">
        <v>41</v>
      </c>
      <c r="K125" t="s">
        <v>42</v>
      </c>
      <c r="L125" s="19">
        <v>1</v>
      </c>
      <c r="M125" s="20">
        <v>1662000</v>
      </c>
      <c r="N125" s="20">
        <v>1460000</v>
      </c>
      <c r="O125" s="20">
        <f t="shared" si="5"/>
        <v>202000</v>
      </c>
      <c r="P125" t="s">
        <v>31</v>
      </c>
    </row>
    <row r="126" spans="1:16">
      <c r="A126" t="s">
        <v>206</v>
      </c>
      <c r="B126" s="18">
        <v>45775</v>
      </c>
      <c r="C126" s="19">
        <f t="shared" si="3"/>
        <v>2025</v>
      </c>
      <c r="D126" s="19" t="str">
        <f t="shared" si="4"/>
        <v>Apr</v>
      </c>
      <c r="E126" t="s">
        <v>26</v>
      </c>
      <c r="F126" t="s">
        <v>27</v>
      </c>
      <c r="G126" t="s">
        <v>28</v>
      </c>
      <c r="H126" t="s">
        <v>39</v>
      </c>
      <c r="I126" t="s">
        <v>63</v>
      </c>
      <c r="J126" t="s">
        <v>41</v>
      </c>
      <c r="K126" t="s">
        <v>58</v>
      </c>
      <c r="L126" s="19">
        <v>1</v>
      </c>
      <c r="M126" s="20">
        <v>1372000</v>
      </c>
      <c r="N126" s="20">
        <v>1160900</v>
      </c>
      <c r="O126" s="20">
        <f t="shared" si="5"/>
        <v>211100</v>
      </c>
      <c r="P126" t="s">
        <v>72</v>
      </c>
    </row>
    <row r="127" spans="1:16">
      <c r="A127" t="s">
        <v>207</v>
      </c>
      <c r="B127" s="18">
        <v>45776</v>
      </c>
      <c r="C127" s="19">
        <f t="shared" si="3"/>
        <v>2025</v>
      </c>
      <c r="D127" s="19" t="str">
        <f t="shared" si="4"/>
        <v>Apr</v>
      </c>
      <c r="E127" t="s">
        <v>17</v>
      </c>
      <c r="F127" t="s">
        <v>18</v>
      </c>
      <c r="G127" t="s">
        <v>19</v>
      </c>
      <c r="H127" t="s">
        <v>74</v>
      </c>
      <c r="I127" t="s">
        <v>56</v>
      </c>
      <c r="J127" t="s">
        <v>57</v>
      </c>
      <c r="K127" t="s">
        <v>58</v>
      </c>
      <c r="L127" s="19">
        <v>1</v>
      </c>
      <c r="M127" s="20">
        <v>1254000</v>
      </c>
      <c r="N127" s="20">
        <v>1073900</v>
      </c>
      <c r="O127" s="20">
        <f t="shared" si="5"/>
        <v>180100</v>
      </c>
      <c r="P127" t="s">
        <v>31</v>
      </c>
    </row>
    <row r="128" spans="1:16">
      <c r="A128" t="s">
        <v>208</v>
      </c>
      <c r="B128" s="18">
        <v>45776</v>
      </c>
      <c r="C128" s="19">
        <f t="shared" si="3"/>
        <v>2025</v>
      </c>
      <c r="D128" s="19" t="str">
        <f t="shared" si="4"/>
        <v>Apr</v>
      </c>
      <c r="E128" t="s">
        <v>33</v>
      </c>
      <c r="F128" t="s">
        <v>81</v>
      </c>
      <c r="G128" t="s">
        <v>82</v>
      </c>
      <c r="H128" t="s">
        <v>83</v>
      </c>
      <c r="I128" t="s">
        <v>56</v>
      </c>
      <c r="J128" t="s">
        <v>57</v>
      </c>
      <c r="K128" t="s">
        <v>58</v>
      </c>
      <c r="L128" s="19">
        <v>1</v>
      </c>
      <c r="M128" s="20">
        <v>1264000</v>
      </c>
      <c r="N128" s="20">
        <v>1068200</v>
      </c>
      <c r="O128" s="20">
        <f t="shared" si="5"/>
        <v>195800</v>
      </c>
      <c r="P128" t="s">
        <v>24</v>
      </c>
    </row>
    <row r="129" spans="1:16">
      <c r="A129" t="s">
        <v>209</v>
      </c>
      <c r="B129" s="18">
        <v>45777</v>
      </c>
      <c r="C129" s="19">
        <f t="shared" si="3"/>
        <v>2025</v>
      </c>
      <c r="D129" s="19" t="str">
        <f t="shared" si="4"/>
        <v>Apr</v>
      </c>
      <c r="E129" t="s">
        <v>33</v>
      </c>
      <c r="F129" t="s">
        <v>92</v>
      </c>
      <c r="G129" t="s">
        <v>93</v>
      </c>
      <c r="H129" t="s">
        <v>94</v>
      </c>
      <c r="I129" t="s">
        <v>56</v>
      </c>
      <c r="J129" t="s">
        <v>57</v>
      </c>
      <c r="K129" t="s">
        <v>58</v>
      </c>
      <c r="L129" s="19">
        <v>1</v>
      </c>
      <c r="M129" s="20">
        <v>1197000</v>
      </c>
      <c r="N129" s="20">
        <v>1014000</v>
      </c>
      <c r="O129" s="20">
        <f t="shared" si="5"/>
        <v>183000</v>
      </c>
      <c r="P129" t="s">
        <v>37</v>
      </c>
    </row>
    <row r="130" spans="1:16">
      <c r="A130" t="s">
        <v>210</v>
      </c>
      <c r="B130" s="18">
        <v>45778</v>
      </c>
      <c r="C130" s="19">
        <f t="shared" ref="C130:C193" si="6">YEAR(B130)</f>
        <v>2025</v>
      </c>
      <c r="D130" s="19" t="str">
        <f t="shared" ref="D130:D193" si="7">CHOOSE(MONTH(B130),"Jan","Feb","Mar","Apr","May","Jun","Jul","Aug","Sep","Oct","Nov","Dec")</f>
        <v>May</v>
      </c>
      <c r="E130" t="s">
        <v>17</v>
      </c>
      <c r="F130" t="s">
        <v>51</v>
      </c>
      <c r="G130" t="s">
        <v>52</v>
      </c>
      <c r="H130" t="s">
        <v>70</v>
      </c>
      <c r="I130" t="s">
        <v>71</v>
      </c>
      <c r="J130" t="s">
        <v>49</v>
      </c>
      <c r="K130" t="s">
        <v>58</v>
      </c>
      <c r="L130" s="19">
        <v>1</v>
      </c>
      <c r="M130" s="20">
        <v>975000</v>
      </c>
      <c r="N130" s="20">
        <v>831700</v>
      </c>
      <c r="O130" s="20">
        <f t="shared" ref="O130:O193" si="8">M130-N130</f>
        <v>143300</v>
      </c>
      <c r="P130" t="s">
        <v>37</v>
      </c>
    </row>
    <row r="131" spans="1:16">
      <c r="A131" t="s">
        <v>211</v>
      </c>
      <c r="B131" s="18">
        <v>45780</v>
      </c>
      <c r="C131" s="19">
        <f t="shared" si="6"/>
        <v>2025</v>
      </c>
      <c r="D131" s="19" t="str">
        <f t="shared" si="7"/>
        <v>May</v>
      </c>
      <c r="E131" t="s">
        <v>33</v>
      </c>
      <c r="F131" t="s">
        <v>34</v>
      </c>
      <c r="G131" t="s">
        <v>34</v>
      </c>
      <c r="H131" t="s">
        <v>102</v>
      </c>
      <c r="I131" t="s">
        <v>63</v>
      </c>
      <c r="J131" t="s">
        <v>41</v>
      </c>
      <c r="K131" t="s">
        <v>58</v>
      </c>
      <c r="L131" s="19">
        <v>1</v>
      </c>
      <c r="M131" s="20">
        <v>1310000</v>
      </c>
      <c r="N131" s="20">
        <v>1127000</v>
      </c>
      <c r="O131" s="20">
        <f t="shared" si="8"/>
        <v>183000</v>
      </c>
      <c r="P131" t="s">
        <v>31</v>
      </c>
    </row>
    <row r="132" spans="1:16">
      <c r="A132" t="s">
        <v>212</v>
      </c>
      <c r="B132" s="18">
        <v>45780</v>
      </c>
      <c r="C132" s="19">
        <f t="shared" si="6"/>
        <v>2025</v>
      </c>
      <c r="D132" s="19" t="str">
        <f t="shared" si="7"/>
        <v>May</v>
      </c>
      <c r="E132" t="s">
        <v>33</v>
      </c>
      <c r="F132" t="s">
        <v>81</v>
      </c>
      <c r="G132" t="s">
        <v>82</v>
      </c>
      <c r="H132" t="s">
        <v>83</v>
      </c>
      <c r="I132" t="s">
        <v>48</v>
      </c>
      <c r="J132" t="s">
        <v>49</v>
      </c>
      <c r="K132" t="s">
        <v>42</v>
      </c>
      <c r="L132" s="19">
        <v>1</v>
      </c>
      <c r="M132" s="20">
        <v>1215000</v>
      </c>
      <c r="N132" s="20">
        <v>1062300</v>
      </c>
      <c r="O132" s="20">
        <f t="shared" si="8"/>
        <v>152700</v>
      </c>
      <c r="P132" t="s">
        <v>31</v>
      </c>
    </row>
    <row r="133" spans="1:16">
      <c r="A133" t="s">
        <v>213</v>
      </c>
      <c r="B133" s="18">
        <v>45781</v>
      </c>
      <c r="C133" s="19">
        <f t="shared" si="6"/>
        <v>2025</v>
      </c>
      <c r="D133" s="19" t="str">
        <f t="shared" si="7"/>
        <v>May</v>
      </c>
      <c r="E133" t="s">
        <v>17</v>
      </c>
      <c r="F133" t="s">
        <v>51</v>
      </c>
      <c r="G133" t="s">
        <v>52</v>
      </c>
      <c r="H133" t="s">
        <v>53</v>
      </c>
      <c r="I133" t="s">
        <v>63</v>
      </c>
      <c r="J133" t="s">
        <v>41</v>
      </c>
      <c r="K133" t="s">
        <v>58</v>
      </c>
      <c r="L133" s="19">
        <v>1</v>
      </c>
      <c r="M133" s="20">
        <v>1394000</v>
      </c>
      <c r="N133" s="20">
        <v>1158500</v>
      </c>
      <c r="O133" s="20">
        <f t="shared" si="8"/>
        <v>235500</v>
      </c>
      <c r="P133" t="s">
        <v>54</v>
      </c>
    </row>
    <row r="134" spans="1:16">
      <c r="A134" t="s">
        <v>214</v>
      </c>
      <c r="B134" s="18">
        <v>45783</v>
      </c>
      <c r="C134" s="19">
        <f t="shared" si="6"/>
        <v>2025</v>
      </c>
      <c r="D134" s="19" t="str">
        <f t="shared" si="7"/>
        <v>May</v>
      </c>
      <c r="E134" t="s">
        <v>17</v>
      </c>
      <c r="F134" t="s">
        <v>18</v>
      </c>
      <c r="G134" t="s">
        <v>19</v>
      </c>
      <c r="H134" t="s">
        <v>20</v>
      </c>
      <c r="I134" t="s">
        <v>56</v>
      </c>
      <c r="J134" t="s">
        <v>57</v>
      </c>
      <c r="K134" t="s">
        <v>58</v>
      </c>
      <c r="L134" s="19">
        <v>1</v>
      </c>
      <c r="M134" s="20">
        <v>1213000</v>
      </c>
      <c r="N134" s="20">
        <v>1013500</v>
      </c>
      <c r="O134" s="20">
        <f t="shared" si="8"/>
        <v>199500</v>
      </c>
      <c r="P134" t="s">
        <v>24</v>
      </c>
    </row>
    <row r="135" spans="1:16">
      <c r="A135" t="s">
        <v>215</v>
      </c>
      <c r="B135" s="18">
        <v>45783</v>
      </c>
      <c r="C135" s="19">
        <f t="shared" si="6"/>
        <v>2025</v>
      </c>
      <c r="D135" s="19" t="str">
        <f t="shared" si="7"/>
        <v>May</v>
      </c>
      <c r="E135" t="s">
        <v>17</v>
      </c>
      <c r="F135" t="s">
        <v>51</v>
      </c>
      <c r="G135" t="s">
        <v>98</v>
      </c>
      <c r="H135" t="s">
        <v>99</v>
      </c>
      <c r="I135" t="s">
        <v>21</v>
      </c>
      <c r="J135" t="s">
        <v>22</v>
      </c>
      <c r="K135" t="s">
        <v>23</v>
      </c>
      <c r="L135" s="19">
        <v>1</v>
      </c>
      <c r="M135" s="20">
        <v>1849000</v>
      </c>
      <c r="N135" s="20">
        <v>1594500</v>
      </c>
      <c r="O135" s="20">
        <f t="shared" si="8"/>
        <v>254500</v>
      </c>
      <c r="P135" t="s">
        <v>31</v>
      </c>
    </row>
    <row r="136" spans="1:16">
      <c r="A136" t="s">
        <v>216</v>
      </c>
      <c r="B136" s="18">
        <v>45783</v>
      </c>
      <c r="C136" s="19">
        <f t="shared" si="6"/>
        <v>2025</v>
      </c>
      <c r="D136" s="19" t="str">
        <f t="shared" si="7"/>
        <v>May</v>
      </c>
      <c r="E136" t="s">
        <v>33</v>
      </c>
      <c r="F136" t="s">
        <v>34</v>
      </c>
      <c r="G136" t="s">
        <v>34</v>
      </c>
      <c r="H136" t="s">
        <v>35</v>
      </c>
      <c r="I136" t="s">
        <v>40</v>
      </c>
      <c r="J136" t="s">
        <v>41</v>
      </c>
      <c r="K136" t="s">
        <v>42</v>
      </c>
      <c r="L136" s="19">
        <v>1</v>
      </c>
      <c r="M136" s="20">
        <v>1739000</v>
      </c>
      <c r="N136" s="20">
        <v>1440400</v>
      </c>
      <c r="O136" s="20">
        <f t="shared" si="8"/>
        <v>298600</v>
      </c>
      <c r="P136" t="s">
        <v>24</v>
      </c>
    </row>
    <row r="137" spans="1:16">
      <c r="A137" t="s">
        <v>217</v>
      </c>
      <c r="B137" s="18">
        <v>45784</v>
      </c>
      <c r="C137" s="19">
        <f t="shared" si="6"/>
        <v>2025</v>
      </c>
      <c r="D137" s="19" t="str">
        <f t="shared" si="7"/>
        <v>May</v>
      </c>
      <c r="E137" t="s">
        <v>26</v>
      </c>
      <c r="F137" t="s">
        <v>27</v>
      </c>
      <c r="G137" t="s">
        <v>28</v>
      </c>
      <c r="H137" t="s">
        <v>29</v>
      </c>
      <c r="I137" t="s">
        <v>56</v>
      </c>
      <c r="J137" t="s">
        <v>57</v>
      </c>
      <c r="K137" t="s">
        <v>58</v>
      </c>
      <c r="L137" s="19">
        <v>1</v>
      </c>
      <c r="M137" s="20">
        <v>1231000</v>
      </c>
      <c r="N137" s="20">
        <v>1065300</v>
      </c>
      <c r="O137" s="20">
        <f t="shared" si="8"/>
        <v>165700</v>
      </c>
      <c r="P137" t="s">
        <v>31</v>
      </c>
    </row>
    <row r="138" spans="1:16">
      <c r="A138" t="s">
        <v>218</v>
      </c>
      <c r="B138" s="18">
        <v>45785</v>
      </c>
      <c r="C138" s="19">
        <f t="shared" si="6"/>
        <v>2025</v>
      </c>
      <c r="D138" s="19" t="str">
        <f t="shared" si="7"/>
        <v>May</v>
      </c>
      <c r="E138" t="s">
        <v>26</v>
      </c>
      <c r="F138" t="s">
        <v>27</v>
      </c>
      <c r="G138" t="s">
        <v>28</v>
      </c>
      <c r="H138" t="s">
        <v>29</v>
      </c>
      <c r="I138" t="s">
        <v>68</v>
      </c>
      <c r="J138" t="s">
        <v>49</v>
      </c>
      <c r="K138" t="s">
        <v>58</v>
      </c>
      <c r="L138" s="19">
        <v>1</v>
      </c>
      <c r="M138" s="20">
        <v>901000</v>
      </c>
      <c r="N138" s="20">
        <v>724200</v>
      </c>
      <c r="O138" s="20">
        <f t="shared" si="8"/>
        <v>176800</v>
      </c>
      <c r="P138" t="s">
        <v>54</v>
      </c>
    </row>
    <row r="139" spans="1:16">
      <c r="A139" t="s">
        <v>219</v>
      </c>
      <c r="B139" s="18">
        <v>45785</v>
      </c>
      <c r="C139" s="19">
        <f t="shared" si="6"/>
        <v>2025</v>
      </c>
      <c r="D139" s="19" t="str">
        <f t="shared" si="7"/>
        <v>May</v>
      </c>
      <c r="E139" t="s">
        <v>17</v>
      </c>
      <c r="F139" t="s">
        <v>51</v>
      </c>
      <c r="G139" t="s">
        <v>52</v>
      </c>
      <c r="H139" t="s">
        <v>70</v>
      </c>
      <c r="I139" t="s">
        <v>30</v>
      </c>
      <c r="J139" t="s">
        <v>22</v>
      </c>
      <c r="K139" t="s">
        <v>23</v>
      </c>
      <c r="L139" s="19">
        <v>1</v>
      </c>
      <c r="M139" s="20">
        <v>1734000</v>
      </c>
      <c r="N139" s="20">
        <v>1442600</v>
      </c>
      <c r="O139" s="20">
        <f t="shared" si="8"/>
        <v>291400</v>
      </c>
      <c r="P139" t="s">
        <v>24</v>
      </c>
    </row>
    <row r="140" spans="1:16">
      <c r="A140" t="s">
        <v>220</v>
      </c>
      <c r="B140" s="18">
        <v>45785</v>
      </c>
      <c r="C140" s="19">
        <f t="shared" si="6"/>
        <v>2025</v>
      </c>
      <c r="D140" s="19" t="str">
        <f t="shared" si="7"/>
        <v>May</v>
      </c>
      <c r="E140" t="s">
        <v>17</v>
      </c>
      <c r="F140" t="s">
        <v>18</v>
      </c>
      <c r="G140" t="s">
        <v>60</v>
      </c>
      <c r="H140" t="s">
        <v>61</v>
      </c>
      <c r="I140" t="s">
        <v>30</v>
      </c>
      <c r="J140" t="s">
        <v>22</v>
      </c>
      <c r="K140" t="s">
        <v>23</v>
      </c>
      <c r="L140" s="19">
        <v>1</v>
      </c>
      <c r="M140" s="20">
        <v>1790000</v>
      </c>
      <c r="N140" s="20">
        <v>1540800</v>
      </c>
      <c r="O140" s="20">
        <f t="shared" si="8"/>
        <v>249200</v>
      </c>
      <c r="P140" t="s">
        <v>31</v>
      </c>
    </row>
    <row r="141" spans="1:16">
      <c r="A141" t="s">
        <v>221</v>
      </c>
      <c r="B141" s="18">
        <v>45785</v>
      </c>
      <c r="C141" s="19">
        <f t="shared" si="6"/>
        <v>2025</v>
      </c>
      <c r="D141" s="19" t="str">
        <f t="shared" si="7"/>
        <v>May</v>
      </c>
      <c r="E141" t="s">
        <v>33</v>
      </c>
      <c r="F141" t="s">
        <v>81</v>
      </c>
      <c r="G141" t="s">
        <v>82</v>
      </c>
      <c r="H141" t="s">
        <v>83</v>
      </c>
      <c r="I141" t="s">
        <v>68</v>
      </c>
      <c r="J141" t="s">
        <v>49</v>
      </c>
      <c r="K141" t="s">
        <v>58</v>
      </c>
      <c r="L141" s="19">
        <v>1</v>
      </c>
      <c r="M141" s="20">
        <v>909000</v>
      </c>
      <c r="N141" s="20">
        <v>754200</v>
      </c>
      <c r="O141" s="20">
        <f t="shared" si="8"/>
        <v>154800</v>
      </c>
      <c r="P141" t="s">
        <v>31</v>
      </c>
    </row>
    <row r="142" spans="1:16">
      <c r="A142" t="s">
        <v>222</v>
      </c>
      <c r="B142" s="18">
        <v>45786</v>
      </c>
      <c r="C142" s="19">
        <f t="shared" si="6"/>
        <v>2025</v>
      </c>
      <c r="D142" s="19" t="str">
        <f t="shared" si="7"/>
        <v>May</v>
      </c>
      <c r="E142" t="s">
        <v>17</v>
      </c>
      <c r="F142" t="s">
        <v>18</v>
      </c>
      <c r="G142" t="s">
        <v>19</v>
      </c>
      <c r="H142" t="s">
        <v>74</v>
      </c>
      <c r="I142" t="s">
        <v>63</v>
      </c>
      <c r="J142" t="s">
        <v>41</v>
      </c>
      <c r="K142" t="s">
        <v>58</v>
      </c>
      <c r="L142" s="19">
        <v>1</v>
      </c>
      <c r="M142" s="20">
        <v>1403000</v>
      </c>
      <c r="N142" s="20">
        <v>1189400</v>
      </c>
      <c r="O142" s="20">
        <f t="shared" si="8"/>
        <v>213600</v>
      </c>
      <c r="P142" t="s">
        <v>37</v>
      </c>
    </row>
    <row r="143" spans="1:16">
      <c r="A143" t="s">
        <v>223</v>
      </c>
      <c r="B143" s="18">
        <v>45787</v>
      </c>
      <c r="C143" s="19">
        <f t="shared" si="6"/>
        <v>2025</v>
      </c>
      <c r="D143" s="19" t="str">
        <f t="shared" si="7"/>
        <v>May</v>
      </c>
      <c r="E143" t="s">
        <v>17</v>
      </c>
      <c r="F143" t="s">
        <v>18</v>
      </c>
      <c r="G143" t="s">
        <v>19</v>
      </c>
      <c r="H143" t="s">
        <v>20</v>
      </c>
      <c r="I143" t="s">
        <v>68</v>
      </c>
      <c r="J143" t="s">
        <v>49</v>
      </c>
      <c r="K143" t="s">
        <v>58</v>
      </c>
      <c r="L143" s="19">
        <v>1</v>
      </c>
      <c r="M143" s="20">
        <v>933000</v>
      </c>
      <c r="N143" s="20">
        <v>793000</v>
      </c>
      <c r="O143" s="20">
        <f t="shared" si="8"/>
        <v>140000</v>
      </c>
      <c r="P143" t="s">
        <v>37</v>
      </c>
    </row>
    <row r="144" spans="1:16">
      <c r="A144" t="s">
        <v>224</v>
      </c>
      <c r="B144" s="18">
        <v>45788</v>
      </c>
      <c r="C144" s="19">
        <f t="shared" si="6"/>
        <v>2025</v>
      </c>
      <c r="D144" s="19" t="str">
        <f t="shared" si="7"/>
        <v>May</v>
      </c>
      <c r="E144" t="s">
        <v>17</v>
      </c>
      <c r="F144" t="s">
        <v>51</v>
      </c>
      <c r="G144" t="s">
        <v>52</v>
      </c>
      <c r="H144" t="s">
        <v>53</v>
      </c>
      <c r="I144" t="s">
        <v>30</v>
      </c>
      <c r="J144" t="s">
        <v>22</v>
      </c>
      <c r="K144" t="s">
        <v>23</v>
      </c>
      <c r="L144" s="19">
        <v>1</v>
      </c>
      <c r="M144" s="20">
        <v>1839000</v>
      </c>
      <c r="N144" s="20">
        <v>1531900</v>
      </c>
      <c r="O144" s="20">
        <f t="shared" si="8"/>
        <v>307100</v>
      </c>
      <c r="P144" t="s">
        <v>31</v>
      </c>
    </row>
    <row r="145" spans="1:16">
      <c r="A145" t="s">
        <v>225</v>
      </c>
      <c r="B145" s="18">
        <v>45789</v>
      </c>
      <c r="C145" s="19">
        <f t="shared" si="6"/>
        <v>2025</v>
      </c>
      <c r="D145" s="19" t="str">
        <f t="shared" si="7"/>
        <v>May</v>
      </c>
      <c r="E145" t="s">
        <v>26</v>
      </c>
      <c r="F145" t="s">
        <v>131</v>
      </c>
      <c r="G145" t="s">
        <v>132</v>
      </c>
      <c r="H145" t="s">
        <v>133</v>
      </c>
      <c r="I145" t="s">
        <v>121</v>
      </c>
      <c r="J145" t="s">
        <v>57</v>
      </c>
      <c r="K145" t="s">
        <v>42</v>
      </c>
      <c r="L145" s="19">
        <v>1</v>
      </c>
      <c r="M145" s="20">
        <v>1628000</v>
      </c>
      <c r="N145" s="20">
        <v>1396000</v>
      </c>
      <c r="O145" s="20">
        <f t="shared" si="8"/>
        <v>232000</v>
      </c>
      <c r="P145" t="s">
        <v>78</v>
      </c>
    </row>
    <row r="146" spans="1:16">
      <c r="A146" t="s">
        <v>226</v>
      </c>
      <c r="B146" s="18">
        <v>45790</v>
      </c>
      <c r="C146" s="19">
        <f t="shared" si="6"/>
        <v>2025</v>
      </c>
      <c r="D146" s="19" t="str">
        <f t="shared" si="7"/>
        <v>May</v>
      </c>
      <c r="E146" t="s">
        <v>26</v>
      </c>
      <c r="F146" t="s">
        <v>131</v>
      </c>
      <c r="G146" t="s">
        <v>132</v>
      </c>
      <c r="H146" t="s">
        <v>133</v>
      </c>
      <c r="I146" t="s">
        <v>68</v>
      </c>
      <c r="J146" t="s">
        <v>49</v>
      </c>
      <c r="K146" t="s">
        <v>58</v>
      </c>
      <c r="L146" s="19">
        <v>1</v>
      </c>
      <c r="M146" s="20">
        <v>923000</v>
      </c>
      <c r="N146" s="20">
        <v>795000</v>
      </c>
      <c r="O146" s="20">
        <f t="shared" si="8"/>
        <v>128000</v>
      </c>
      <c r="P146" t="s">
        <v>31</v>
      </c>
    </row>
    <row r="147" spans="1:16">
      <c r="A147" t="s">
        <v>227</v>
      </c>
      <c r="B147" s="18">
        <v>45791</v>
      </c>
      <c r="C147" s="19">
        <f t="shared" si="6"/>
        <v>2025</v>
      </c>
      <c r="D147" s="19" t="str">
        <f t="shared" si="7"/>
        <v>May</v>
      </c>
      <c r="E147" t="s">
        <v>26</v>
      </c>
      <c r="F147" t="s">
        <v>27</v>
      </c>
      <c r="G147" t="s">
        <v>28</v>
      </c>
      <c r="H147" t="s">
        <v>39</v>
      </c>
      <c r="I147" t="s">
        <v>63</v>
      </c>
      <c r="J147" t="s">
        <v>41</v>
      </c>
      <c r="K147" t="s">
        <v>58</v>
      </c>
      <c r="L147" s="19">
        <v>1</v>
      </c>
      <c r="M147" s="20">
        <v>1318000</v>
      </c>
      <c r="N147" s="20">
        <v>1154700</v>
      </c>
      <c r="O147" s="20">
        <f t="shared" si="8"/>
        <v>163300</v>
      </c>
      <c r="P147" t="s">
        <v>31</v>
      </c>
    </row>
    <row r="148" spans="1:16">
      <c r="A148" t="s">
        <v>228</v>
      </c>
      <c r="B148" s="18">
        <v>45791</v>
      </c>
      <c r="C148" s="19">
        <f t="shared" si="6"/>
        <v>2025</v>
      </c>
      <c r="D148" s="19" t="str">
        <f t="shared" si="7"/>
        <v>May</v>
      </c>
      <c r="E148" t="s">
        <v>26</v>
      </c>
      <c r="F148" t="s">
        <v>27</v>
      </c>
      <c r="G148" t="s">
        <v>28</v>
      </c>
      <c r="H148" t="s">
        <v>29</v>
      </c>
      <c r="I148" t="s">
        <v>56</v>
      </c>
      <c r="J148" t="s">
        <v>57</v>
      </c>
      <c r="K148" t="s">
        <v>58</v>
      </c>
      <c r="L148" s="19">
        <v>1</v>
      </c>
      <c r="M148" s="20">
        <v>1223000</v>
      </c>
      <c r="N148" s="20">
        <v>995300</v>
      </c>
      <c r="O148" s="20">
        <f t="shared" si="8"/>
        <v>227700</v>
      </c>
      <c r="P148" t="s">
        <v>31</v>
      </c>
    </row>
    <row r="149" spans="1:16">
      <c r="A149" t="s">
        <v>229</v>
      </c>
      <c r="B149" s="18">
        <v>45792</v>
      </c>
      <c r="C149" s="19">
        <f t="shared" si="6"/>
        <v>2025</v>
      </c>
      <c r="D149" s="19" t="str">
        <f t="shared" si="7"/>
        <v>May</v>
      </c>
      <c r="E149" t="s">
        <v>44</v>
      </c>
      <c r="F149" t="s">
        <v>45</v>
      </c>
      <c r="G149" t="s">
        <v>46</v>
      </c>
      <c r="H149" t="s">
        <v>47</v>
      </c>
      <c r="I149" t="s">
        <v>121</v>
      </c>
      <c r="J149" t="s">
        <v>57</v>
      </c>
      <c r="K149" t="s">
        <v>42</v>
      </c>
      <c r="L149" s="19">
        <v>1</v>
      </c>
      <c r="M149" s="20">
        <v>1587000</v>
      </c>
      <c r="N149" s="20">
        <v>1278500</v>
      </c>
      <c r="O149" s="20">
        <f t="shared" si="8"/>
        <v>308500</v>
      </c>
      <c r="P149" t="s">
        <v>31</v>
      </c>
    </row>
    <row r="150" spans="1:16">
      <c r="A150" t="s">
        <v>230</v>
      </c>
      <c r="B150" s="18">
        <v>45793</v>
      </c>
      <c r="C150" s="19">
        <f t="shared" si="6"/>
        <v>2025</v>
      </c>
      <c r="D150" s="19" t="str">
        <f t="shared" si="7"/>
        <v>May</v>
      </c>
      <c r="E150" t="s">
        <v>17</v>
      </c>
      <c r="F150" t="s">
        <v>18</v>
      </c>
      <c r="G150" t="s">
        <v>19</v>
      </c>
      <c r="H150" t="s">
        <v>74</v>
      </c>
      <c r="I150" t="s">
        <v>63</v>
      </c>
      <c r="J150" t="s">
        <v>41</v>
      </c>
      <c r="K150" t="s">
        <v>58</v>
      </c>
      <c r="L150" s="19">
        <v>1</v>
      </c>
      <c r="M150" s="20">
        <v>1366000</v>
      </c>
      <c r="N150" s="20">
        <v>1117700</v>
      </c>
      <c r="O150" s="20">
        <f t="shared" si="8"/>
        <v>248300</v>
      </c>
      <c r="P150" t="s">
        <v>72</v>
      </c>
    </row>
    <row r="151" spans="1:16">
      <c r="A151" t="s">
        <v>231</v>
      </c>
      <c r="B151" s="18">
        <v>45794</v>
      </c>
      <c r="C151" s="19">
        <f t="shared" si="6"/>
        <v>2025</v>
      </c>
      <c r="D151" s="19" t="str">
        <f t="shared" si="7"/>
        <v>May</v>
      </c>
      <c r="E151" t="s">
        <v>33</v>
      </c>
      <c r="F151" t="s">
        <v>34</v>
      </c>
      <c r="G151" t="s">
        <v>34</v>
      </c>
      <c r="H151" t="s">
        <v>102</v>
      </c>
      <c r="I151" t="s">
        <v>30</v>
      </c>
      <c r="J151" t="s">
        <v>22</v>
      </c>
      <c r="K151" t="s">
        <v>23</v>
      </c>
      <c r="L151" s="19">
        <v>1</v>
      </c>
      <c r="M151" s="20">
        <v>1721000</v>
      </c>
      <c r="N151" s="20">
        <v>1404800</v>
      </c>
      <c r="O151" s="20">
        <f t="shared" si="8"/>
        <v>316200</v>
      </c>
      <c r="P151" t="s">
        <v>54</v>
      </c>
    </row>
    <row r="152" spans="1:16">
      <c r="A152" t="s">
        <v>232</v>
      </c>
      <c r="B152" s="18">
        <v>45796</v>
      </c>
      <c r="C152" s="19">
        <f t="shared" si="6"/>
        <v>2025</v>
      </c>
      <c r="D152" s="19" t="str">
        <f t="shared" si="7"/>
        <v>May</v>
      </c>
      <c r="E152" t="s">
        <v>17</v>
      </c>
      <c r="F152" t="s">
        <v>18</v>
      </c>
      <c r="G152" t="s">
        <v>19</v>
      </c>
      <c r="H152" t="s">
        <v>74</v>
      </c>
      <c r="I152" t="s">
        <v>71</v>
      </c>
      <c r="J152" t="s">
        <v>49</v>
      </c>
      <c r="K152" t="s">
        <v>58</v>
      </c>
      <c r="L152" s="19">
        <v>1</v>
      </c>
      <c r="M152" s="20">
        <v>1043000</v>
      </c>
      <c r="N152" s="20">
        <v>888000</v>
      </c>
      <c r="O152" s="20">
        <f t="shared" si="8"/>
        <v>155000</v>
      </c>
      <c r="P152" t="s">
        <v>24</v>
      </c>
    </row>
    <row r="153" spans="1:16">
      <c r="A153" t="s">
        <v>233</v>
      </c>
      <c r="B153" s="18">
        <v>45796</v>
      </c>
      <c r="C153" s="19">
        <f t="shared" si="6"/>
        <v>2025</v>
      </c>
      <c r="D153" s="19" t="str">
        <f t="shared" si="7"/>
        <v>May</v>
      </c>
      <c r="E153" t="s">
        <v>17</v>
      </c>
      <c r="F153" t="s">
        <v>18</v>
      </c>
      <c r="G153" t="s">
        <v>19</v>
      </c>
      <c r="H153" t="s">
        <v>74</v>
      </c>
      <c r="I153" t="s">
        <v>68</v>
      </c>
      <c r="J153" t="s">
        <v>49</v>
      </c>
      <c r="K153" t="s">
        <v>58</v>
      </c>
      <c r="L153" s="19">
        <v>1</v>
      </c>
      <c r="M153" s="20">
        <v>891000</v>
      </c>
      <c r="N153" s="20">
        <v>743400</v>
      </c>
      <c r="O153" s="20">
        <f t="shared" si="8"/>
        <v>147600</v>
      </c>
      <c r="P153" t="s">
        <v>72</v>
      </c>
    </row>
    <row r="154" spans="1:16">
      <c r="A154" t="s">
        <v>234</v>
      </c>
      <c r="B154" s="18">
        <v>45796</v>
      </c>
      <c r="C154" s="19">
        <f t="shared" si="6"/>
        <v>2025</v>
      </c>
      <c r="D154" s="19" t="str">
        <f t="shared" si="7"/>
        <v>May</v>
      </c>
      <c r="E154" t="s">
        <v>17</v>
      </c>
      <c r="F154" t="s">
        <v>18</v>
      </c>
      <c r="G154" t="s">
        <v>19</v>
      </c>
      <c r="H154" t="s">
        <v>74</v>
      </c>
      <c r="I154" t="s">
        <v>30</v>
      </c>
      <c r="J154" t="s">
        <v>22</v>
      </c>
      <c r="K154" t="s">
        <v>23</v>
      </c>
      <c r="L154" s="19">
        <v>2</v>
      </c>
      <c r="M154" s="20">
        <v>3478000</v>
      </c>
      <c r="N154" s="20">
        <v>2998800</v>
      </c>
      <c r="O154" s="20">
        <f t="shared" si="8"/>
        <v>479200</v>
      </c>
      <c r="P154" t="s">
        <v>54</v>
      </c>
    </row>
    <row r="155" spans="1:16">
      <c r="A155" t="s">
        <v>235</v>
      </c>
      <c r="B155" s="18">
        <v>45796</v>
      </c>
      <c r="C155" s="19">
        <f t="shared" si="6"/>
        <v>2025</v>
      </c>
      <c r="D155" s="19" t="str">
        <f t="shared" si="7"/>
        <v>May</v>
      </c>
      <c r="E155" t="s">
        <v>26</v>
      </c>
      <c r="F155" t="s">
        <v>27</v>
      </c>
      <c r="G155" t="s">
        <v>28</v>
      </c>
      <c r="H155" t="s">
        <v>29</v>
      </c>
      <c r="I155" t="s">
        <v>48</v>
      </c>
      <c r="J155" t="s">
        <v>49</v>
      </c>
      <c r="K155" t="s">
        <v>42</v>
      </c>
      <c r="L155" s="19">
        <v>1</v>
      </c>
      <c r="M155" s="20">
        <v>1245000</v>
      </c>
      <c r="N155" s="20">
        <v>1011000</v>
      </c>
      <c r="O155" s="20">
        <f t="shared" si="8"/>
        <v>234000</v>
      </c>
      <c r="P155" t="s">
        <v>78</v>
      </c>
    </row>
    <row r="156" spans="1:16">
      <c r="A156" t="s">
        <v>236</v>
      </c>
      <c r="B156" s="18">
        <v>45797</v>
      </c>
      <c r="C156" s="19">
        <f t="shared" si="6"/>
        <v>2025</v>
      </c>
      <c r="D156" s="19" t="str">
        <f t="shared" si="7"/>
        <v>May</v>
      </c>
      <c r="E156" t="s">
        <v>17</v>
      </c>
      <c r="F156" t="s">
        <v>51</v>
      </c>
      <c r="G156" t="s">
        <v>52</v>
      </c>
      <c r="H156" t="s">
        <v>70</v>
      </c>
      <c r="I156" t="s">
        <v>63</v>
      </c>
      <c r="J156" t="s">
        <v>41</v>
      </c>
      <c r="K156" t="s">
        <v>58</v>
      </c>
      <c r="L156" s="19">
        <v>1</v>
      </c>
      <c r="M156" s="20">
        <v>1316000</v>
      </c>
      <c r="N156" s="20">
        <v>1096400</v>
      </c>
      <c r="O156" s="20">
        <f t="shared" si="8"/>
        <v>219600</v>
      </c>
      <c r="P156" t="s">
        <v>24</v>
      </c>
    </row>
    <row r="157" spans="1:16">
      <c r="A157" t="s">
        <v>237</v>
      </c>
      <c r="B157" s="18">
        <v>45797</v>
      </c>
      <c r="C157" s="19">
        <f t="shared" si="6"/>
        <v>2025</v>
      </c>
      <c r="D157" s="19" t="str">
        <f t="shared" si="7"/>
        <v>May</v>
      </c>
      <c r="E157" t="s">
        <v>17</v>
      </c>
      <c r="F157" t="s">
        <v>18</v>
      </c>
      <c r="G157" t="s">
        <v>19</v>
      </c>
      <c r="H157" t="s">
        <v>74</v>
      </c>
      <c r="I157" t="s">
        <v>121</v>
      </c>
      <c r="J157" t="s">
        <v>57</v>
      </c>
      <c r="K157" t="s">
        <v>42</v>
      </c>
      <c r="L157" s="19">
        <v>1</v>
      </c>
      <c r="M157" s="20">
        <v>1636000</v>
      </c>
      <c r="N157" s="20">
        <v>1396400</v>
      </c>
      <c r="O157" s="20">
        <f t="shared" si="8"/>
        <v>239600</v>
      </c>
      <c r="P157" t="s">
        <v>31</v>
      </c>
    </row>
    <row r="158" spans="1:16">
      <c r="A158" t="s">
        <v>238</v>
      </c>
      <c r="B158" s="18">
        <v>45798</v>
      </c>
      <c r="C158" s="19">
        <f t="shared" si="6"/>
        <v>2025</v>
      </c>
      <c r="D158" s="19" t="str">
        <f t="shared" si="7"/>
        <v>May</v>
      </c>
      <c r="E158" t="s">
        <v>26</v>
      </c>
      <c r="F158" t="s">
        <v>65</v>
      </c>
      <c r="G158" t="s">
        <v>66</v>
      </c>
      <c r="H158" t="s">
        <v>67</v>
      </c>
      <c r="I158" t="s">
        <v>48</v>
      </c>
      <c r="J158" t="s">
        <v>49</v>
      </c>
      <c r="K158" t="s">
        <v>42</v>
      </c>
      <c r="L158" s="19">
        <v>1</v>
      </c>
      <c r="M158" s="20">
        <v>1262000</v>
      </c>
      <c r="N158" s="20">
        <v>1059500</v>
      </c>
      <c r="O158" s="20">
        <f t="shared" si="8"/>
        <v>202500</v>
      </c>
      <c r="P158" t="s">
        <v>72</v>
      </c>
    </row>
    <row r="159" spans="1:16">
      <c r="A159" t="s">
        <v>239</v>
      </c>
      <c r="B159" s="18">
        <v>45800</v>
      </c>
      <c r="C159" s="19">
        <f t="shared" si="6"/>
        <v>2025</v>
      </c>
      <c r="D159" s="19" t="str">
        <f t="shared" si="7"/>
        <v>May</v>
      </c>
      <c r="E159" t="s">
        <v>26</v>
      </c>
      <c r="F159" t="s">
        <v>27</v>
      </c>
      <c r="G159" t="s">
        <v>28</v>
      </c>
      <c r="H159" t="s">
        <v>29</v>
      </c>
      <c r="I159" t="s">
        <v>68</v>
      </c>
      <c r="J159" t="s">
        <v>49</v>
      </c>
      <c r="K159" t="s">
        <v>58</v>
      </c>
      <c r="L159" s="19">
        <v>1</v>
      </c>
      <c r="M159" s="20">
        <v>950000</v>
      </c>
      <c r="N159" s="20">
        <v>804800</v>
      </c>
      <c r="O159" s="20">
        <f t="shared" si="8"/>
        <v>145200</v>
      </c>
      <c r="P159" t="s">
        <v>31</v>
      </c>
    </row>
    <row r="160" spans="1:16">
      <c r="A160" t="s">
        <v>240</v>
      </c>
      <c r="B160" s="18">
        <v>45800</v>
      </c>
      <c r="C160" s="19">
        <f t="shared" si="6"/>
        <v>2025</v>
      </c>
      <c r="D160" s="19" t="str">
        <f t="shared" si="7"/>
        <v>May</v>
      </c>
      <c r="E160" t="s">
        <v>17</v>
      </c>
      <c r="F160" t="s">
        <v>18</v>
      </c>
      <c r="G160" t="s">
        <v>19</v>
      </c>
      <c r="H160" t="s">
        <v>74</v>
      </c>
      <c r="I160" t="s">
        <v>30</v>
      </c>
      <c r="J160" t="s">
        <v>22</v>
      </c>
      <c r="K160" t="s">
        <v>23</v>
      </c>
      <c r="L160" s="19">
        <v>1</v>
      </c>
      <c r="M160" s="20">
        <v>1771000</v>
      </c>
      <c r="N160" s="20">
        <v>1431100</v>
      </c>
      <c r="O160" s="20">
        <f t="shared" si="8"/>
        <v>339900</v>
      </c>
      <c r="P160" t="s">
        <v>31</v>
      </c>
    </row>
    <row r="161" spans="1:16">
      <c r="A161" t="s">
        <v>241</v>
      </c>
      <c r="B161" s="18">
        <v>45801</v>
      </c>
      <c r="C161" s="19">
        <f t="shared" si="6"/>
        <v>2025</v>
      </c>
      <c r="D161" s="19" t="str">
        <f t="shared" si="7"/>
        <v>May</v>
      </c>
      <c r="E161" t="s">
        <v>17</v>
      </c>
      <c r="F161" t="s">
        <v>51</v>
      </c>
      <c r="G161" t="s">
        <v>98</v>
      </c>
      <c r="H161" t="s">
        <v>99</v>
      </c>
      <c r="I161" t="s">
        <v>63</v>
      </c>
      <c r="J161" t="s">
        <v>41</v>
      </c>
      <c r="K161" t="s">
        <v>58</v>
      </c>
      <c r="L161" s="19">
        <v>1</v>
      </c>
      <c r="M161" s="20">
        <v>1348000</v>
      </c>
      <c r="N161" s="20">
        <v>1129300</v>
      </c>
      <c r="O161" s="20">
        <f t="shared" si="8"/>
        <v>218700</v>
      </c>
      <c r="P161" t="s">
        <v>24</v>
      </c>
    </row>
    <row r="162" spans="1:16">
      <c r="A162" t="s">
        <v>242</v>
      </c>
      <c r="B162" s="18">
        <v>45802</v>
      </c>
      <c r="C162" s="19">
        <f t="shared" si="6"/>
        <v>2025</v>
      </c>
      <c r="D162" s="19" t="str">
        <f t="shared" si="7"/>
        <v>May</v>
      </c>
      <c r="E162" t="s">
        <v>26</v>
      </c>
      <c r="F162" t="s">
        <v>27</v>
      </c>
      <c r="G162" t="s">
        <v>28</v>
      </c>
      <c r="H162" t="s">
        <v>29</v>
      </c>
      <c r="I162" t="s">
        <v>63</v>
      </c>
      <c r="J162" t="s">
        <v>41</v>
      </c>
      <c r="K162" t="s">
        <v>58</v>
      </c>
      <c r="L162" s="19">
        <v>1</v>
      </c>
      <c r="M162" s="20">
        <v>1339000</v>
      </c>
      <c r="N162" s="20">
        <v>1159800</v>
      </c>
      <c r="O162" s="20">
        <f t="shared" si="8"/>
        <v>179200</v>
      </c>
      <c r="P162" t="s">
        <v>24</v>
      </c>
    </row>
    <row r="163" spans="1:16">
      <c r="A163" t="s">
        <v>243</v>
      </c>
      <c r="B163" s="18">
        <v>45803</v>
      </c>
      <c r="C163" s="19">
        <f t="shared" si="6"/>
        <v>2025</v>
      </c>
      <c r="D163" s="19" t="str">
        <f t="shared" si="7"/>
        <v>May</v>
      </c>
      <c r="E163" t="s">
        <v>44</v>
      </c>
      <c r="F163" t="s">
        <v>45</v>
      </c>
      <c r="G163" t="s">
        <v>46</v>
      </c>
      <c r="H163" t="s">
        <v>47</v>
      </c>
      <c r="I163" t="s">
        <v>63</v>
      </c>
      <c r="J163" t="s">
        <v>41</v>
      </c>
      <c r="K163" t="s">
        <v>58</v>
      </c>
      <c r="L163" s="19">
        <v>1</v>
      </c>
      <c r="M163" s="20">
        <v>1305000</v>
      </c>
      <c r="N163" s="20">
        <v>1109200</v>
      </c>
      <c r="O163" s="20">
        <f t="shared" si="8"/>
        <v>195800</v>
      </c>
      <c r="P163" t="s">
        <v>24</v>
      </c>
    </row>
    <row r="164" spans="1:16">
      <c r="A164" t="s">
        <v>244</v>
      </c>
      <c r="B164" s="18">
        <v>45805</v>
      </c>
      <c r="C164" s="19">
        <f t="shared" si="6"/>
        <v>2025</v>
      </c>
      <c r="D164" s="19" t="str">
        <f t="shared" si="7"/>
        <v>May</v>
      </c>
      <c r="E164" t="s">
        <v>33</v>
      </c>
      <c r="F164" t="s">
        <v>34</v>
      </c>
      <c r="G164" t="s">
        <v>34</v>
      </c>
      <c r="H164" t="s">
        <v>35</v>
      </c>
      <c r="I164" t="s">
        <v>121</v>
      </c>
      <c r="J164" t="s">
        <v>57</v>
      </c>
      <c r="K164" t="s">
        <v>42</v>
      </c>
      <c r="L164" s="19">
        <v>1</v>
      </c>
      <c r="M164" s="20">
        <v>1605000</v>
      </c>
      <c r="N164" s="20">
        <v>1410000</v>
      </c>
      <c r="O164" s="20">
        <f t="shared" si="8"/>
        <v>195000</v>
      </c>
      <c r="P164" t="s">
        <v>37</v>
      </c>
    </row>
    <row r="165" spans="1:16">
      <c r="A165" t="s">
        <v>245</v>
      </c>
      <c r="B165" s="18">
        <v>45806</v>
      </c>
      <c r="C165" s="19">
        <f t="shared" si="6"/>
        <v>2025</v>
      </c>
      <c r="D165" s="19" t="str">
        <f t="shared" si="7"/>
        <v>May</v>
      </c>
      <c r="E165" t="s">
        <v>17</v>
      </c>
      <c r="F165" t="s">
        <v>18</v>
      </c>
      <c r="G165" t="s">
        <v>19</v>
      </c>
      <c r="H165" t="s">
        <v>20</v>
      </c>
      <c r="I165" t="s">
        <v>71</v>
      </c>
      <c r="J165" t="s">
        <v>49</v>
      </c>
      <c r="K165" t="s">
        <v>58</v>
      </c>
      <c r="L165" s="19">
        <v>1</v>
      </c>
      <c r="M165" s="20">
        <v>993000</v>
      </c>
      <c r="N165" s="20">
        <v>821700</v>
      </c>
      <c r="O165" s="20">
        <f t="shared" si="8"/>
        <v>171300</v>
      </c>
      <c r="P165" t="s">
        <v>54</v>
      </c>
    </row>
    <row r="166" spans="1:16">
      <c r="A166" t="s">
        <v>246</v>
      </c>
      <c r="B166" s="18">
        <v>45806</v>
      </c>
      <c r="C166" s="19">
        <f t="shared" si="6"/>
        <v>2025</v>
      </c>
      <c r="D166" s="19" t="str">
        <f t="shared" si="7"/>
        <v>May</v>
      </c>
      <c r="E166" t="s">
        <v>44</v>
      </c>
      <c r="F166" t="s">
        <v>118</v>
      </c>
      <c r="G166" t="s">
        <v>119</v>
      </c>
      <c r="H166" t="s">
        <v>120</v>
      </c>
      <c r="I166" t="s">
        <v>48</v>
      </c>
      <c r="J166" t="s">
        <v>49</v>
      </c>
      <c r="K166" t="s">
        <v>42</v>
      </c>
      <c r="L166" s="19">
        <v>1</v>
      </c>
      <c r="M166" s="20">
        <v>1225000</v>
      </c>
      <c r="N166" s="20">
        <v>1002400</v>
      </c>
      <c r="O166" s="20">
        <f t="shared" si="8"/>
        <v>222600</v>
      </c>
      <c r="P166" t="s">
        <v>37</v>
      </c>
    </row>
    <row r="167" spans="1:16">
      <c r="A167" t="s">
        <v>247</v>
      </c>
      <c r="B167" s="18">
        <v>45807</v>
      </c>
      <c r="C167" s="19">
        <f t="shared" si="6"/>
        <v>2025</v>
      </c>
      <c r="D167" s="19" t="str">
        <f t="shared" si="7"/>
        <v>May</v>
      </c>
      <c r="E167" t="s">
        <v>26</v>
      </c>
      <c r="F167" t="s">
        <v>27</v>
      </c>
      <c r="G167" t="s">
        <v>28</v>
      </c>
      <c r="H167" t="s">
        <v>39</v>
      </c>
      <c r="I167" t="s">
        <v>63</v>
      </c>
      <c r="J167" t="s">
        <v>41</v>
      </c>
      <c r="K167" t="s">
        <v>58</v>
      </c>
      <c r="L167" s="19">
        <v>1</v>
      </c>
      <c r="M167" s="20">
        <v>1309000</v>
      </c>
      <c r="N167" s="20">
        <v>1120200</v>
      </c>
      <c r="O167" s="20">
        <f t="shared" si="8"/>
        <v>188800</v>
      </c>
      <c r="P167" t="s">
        <v>54</v>
      </c>
    </row>
    <row r="168" spans="1:16">
      <c r="A168" t="s">
        <v>248</v>
      </c>
      <c r="B168" s="18">
        <v>45807</v>
      </c>
      <c r="C168" s="19">
        <f t="shared" si="6"/>
        <v>2025</v>
      </c>
      <c r="D168" s="19" t="str">
        <f t="shared" si="7"/>
        <v>May</v>
      </c>
      <c r="E168" t="s">
        <v>17</v>
      </c>
      <c r="F168" t="s">
        <v>51</v>
      </c>
      <c r="G168" t="s">
        <v>98</v>
      </c>
      <c r="H168" t="s">
        <v>99</v>
      </c>
      <c r="I168" t="s">
        <v>71</v>
      </c>
      <c r="J168" t="s">
        <v>49</v>
      </c>
      <c r="K168" t="s">
        <v>58</v>
      </c>
      <c r="L168" s="19">
        <v>1</v>
      </c>
      <c r="M168" s="20">
        <v>1022000</v>
      </c>
      <c r="N168" s="20">
        <v>897400</v>
      </c>
      <c r="O168" s="20">
        <f t="shared" si="8"/>
        <v>124600</v>
      </c>
      <c r="P168" t="s">
        <v>24</v>
      </c>
    </row>
    <row r="169" spans="1:16">
      <c r="A169" t="s">
        <v>249</v>
      </c>
      <c r="B169" s="18">
        <v>45807</v>
      </c>
      <c r="C169" s="19">
        <f t="shared" si="6"/>
        <v>2025</v>
      </c>
      <c r="D169" s="19" t="str">
        <f t="shared" si="7"/>
        <v>May</v>
      </c>
      <c r="E169" t="s">
        <v>17</v>
      </c>
      <c r="F169" t="s">
        <v>51</v>
      </c>
      <c r="G169" t="s">
        <v>52</v>
      </c>
      <c r="H169" t="s">
        <v>53</v>
      </c>
      <c r="I169" t="s">
        <v>30</v>
      </c>
      <c r="J169" t="s">
        <v>22</v>
      </c>
      <c r="K169" t="s">
        <v>23</v>
      </c>
      <c r="L169" s="19">
        <v>1</v>
      </c>
      <c r="M169" s="20">
        <v>1832000</v>
      </c>
      <c r="N169" s="20">
        <v>1522600</v>
      </c>
      <c r="O169" s="20">
        <f t="shared" si="8"/>
        <v>309400</v>
      </c>
      <c r="P169" t="s">
        <v>24</v>
      </c>
    </row>
    <row r="170" spans="1:16">
      <c r="A170" t="s">
        <v>250</v>
      </c>
      <c r="B170" s="18">
        <v>45807</v>
      </c>
      <c r="C170" s="19">
        <f t="shared" si="6"/>
        <v>2025</v>
      </c>
      <c r="D170" s="19" t="str">
        <f t="shared" si="7"/>
        <v>May</v>
      </c>
      <c r="E170" t="s">
        <v>33</v>
      </c>
      <c r="F170" t="s">
        <v>92</v>
      </c>
      <c r="G170" t="s">
        <v>93</v>
      </c>
      <c r="H170" t="s">
        <v>94</v>
      </c>
      <c r="I170" t="s">
        <v>48</v>
      </c>
      <c r="J170" t="s">
        <v>49</v>
      </c>
      <c r="K170" t="s">
        <v>42</v>
      </c>
      <c r="L170" s="19">
        <v>1</v>
      </c>
      <c r="M170" s="20">
        <v>1203000</v>
      </c>
      <c r="N170" s="20">
        <v>1042200</v>
      </c>
      <c r="O170" s="20">
        <f t="shared" si="8"/>
        <v>160800</v>
      </c>
      <c r="P170" t="s">
        <v>37</v>
      </c>
    </row>
    <row r="171" spans="1:16">
      <c r="A171" t="s">
        <v>251</v>
      </c>
      <c r="B171" s="18">
        <v>45808</v>
      </c>
      <c r="C171" s="19">
        <f t="shared" si="6"/>
        <v>2025</v>
      </c>
      <c r="D171" s="19" t="str">
        <f t="shared" si="7"/>
        <v>May</v>
      </c>
      <c r="E171" t="s">
        <v>17</v>
      </c>
      <c r="F171" t="s">
        <v>18</v>
      </c>
      <c r="G171" t="s">
        <v>60</v>
      </c>
      <c r="H171" t="s">
        <v>61</v>
      </c>
      <c r="I171" t="s">
        <v>48</v>
      </c>
      <c r="J171" t="s">
        <v>49</v>
      </c>
      <c r="K171" t="s">
        <v>42</v>
      </c>
      <c r="L171" s="19">
        <v>1</v>
      </c>
      <c r="M171" s="20">
        <v>1266000</v>
      </c>
      <c r="N171" s="20">
        <v>1056500</v>
      </c>
      <c r="O171" s="20">
        <f t="shared" si="8"/>
        <v>209500</v>
      </c>
      <c r="P171" t="s">
        <v>24</v>
      </c>
    </row>
    <row r="172" spans="1:16">
      <c r="A172" t="s">
        <v>252</v>
      </c>
      <c r="B172" s="18">
        <v>45808</v>
      </c>
      <c r="C172" s="19">
        <f t="shared" si="6"/>
        <v>2025</v>
      </c>
      <c r="D172" s="19" t="str">
        <f t="shared" si="7"/>
        <v>May</v>
      </c>
      <c r="E172" t="s">
        <v>33</v>
      </c>
      <c r="F172" t="s">
        <v>34</v>
      </c>
      <c r="G172" t="s">
        <v>34</v>
      </c>
      <c r="H172" t="s">
        <v>102</v>
      </c>
      <c r="I172" t="s">
        <v>48</v>
      </c>
      <c r="J172" t="s">
        <v>49</v>
      </c>
      <c r="K172" t="s">
        <v>42</v>
      </c>
      <c r="L172" s="19">
        <v>1</v>
      </c>
      <c r="M172" s="20">
        <v>1244000</v>
      </c>
      <c r="N172" s="20">
        <v>996700</v>
      </c>
      <c r="O172" s="20">
        <f t="shared" si="8"/>
        <v>247300</v>
      </c>
      <c r="P172" t="s">
        <v>31</v>
      </c>
    </row>
    <row r="173" spans="1:16">
      <c r="A173" t="s">
        <v>253</v>
      </c>
      <c r="B173" s="18">
        <v>45808</v>
      </c>
      <c r="C173" s="19">
        <f t="shared" si="6"/>
        <v>2025</v>
      </c>
      <c r="D173" s="19" t="str">
        <f t="shared" si="7"/>
        <v>May</v>
      </c>
      <c r="E173" t="s">
        <v>17</v>
      </c>
      <c r="F173" t="s">
        <v>18</v>
      </c>
      <c r="G173" t="s">
        <v>19</v>
      </c>
      <c r="H173" t="s">
        <v>74</v>
      </c>
      <c r="I173" t="s">
        <v>63</v>
      </c>
      <c r="J173" t="s">
        <v>41</v>
      </c>
      <c r="K173" t="s">
        <v>58</v>
      </c>
      <c r="L173" s="19">
        <v>1</v>
      </c>
      <c r="M173" s="20">
        <v>1343000</v>
      </c>
      <c r="N173" s="20">
        <v>1090900</v>
      </c>
      <c r="O173" s="20">
        <f t="shared" si="8"/>
        <v>252100</v>
      </c>
      <c r="P173" t="s">
        <v>37</v>
      </c>
    </row>
    <row r="174" spans="1:16">
      <c r="A174" t="s">
        <v>254</v>
      </c>
      <c r="B174" s="18">
        <v>45808</v>
      </c>
      <c r="C174" s="19">
        <f t="shared" si="6"/>
        <v>2025</v>
      </c>
      <c r="D174" s="19" t="str">
        <f t="shared" si="7"/>
        <v>May</v>
      </c>
      <c r="E174" t="s">
        <v>17</v>
      </c>
      <c r="F174" t="s">
        <v>18</v>
      </c>
      <c r="G174" t="s">
        <v>60</v>
      </c>
      <c r="H174" t="s">
        <v>61</v>
      </c>
      <c r="I174" t="s">
        <v>63</v>
      </c>
      <c r="J174" t="s">
        <v>41</v>
      </c>
      <c r="K174" t="s">
        <v>58</v>
      </c>
      <c r="L174" s="19">
        <v>2</v>
      </c>
      <c r="M174" s="20">
        <v>2677000</v>
      </c>
      <c r="N174" s="20">
        <v>2156600</v>
      </c>
      <c r="O174" s="20">
        <f t="shared" si="8"/>
        <v>520400</v>
      </c>
      <c r="P174" t="s">
        <v>78</v>
      </c>
    </row>
    <row r="175" spans="1:16">
      <c r="A175" t="s">
        <v>255</v>
      </c>
      <c r="B175" s="18">
        <v>45809</v>
      </c>
      <c r="C175" s="19">
        <f t="shared" si="6"/>
        <v>2025</v>
      </c>
      <c r="D175" s="19" t="str">
        <f t="shared" si="7"/>
        <v>Jun</v>
      </c>
      <c r="E175" t="s">
        <v>17</v>
      </c>
      <c r="F175" t="s">
        <v>18</v>
      </c>
      <c r="G175" t="s">
        <v>19</v>
      </c>
      <c r="H175" t="s">
        <v>74</v>
      </c>
      <c r="I175" t="s">
        <v>56</v>
      </c>
      <c r="J175" t="s">
        <v>57</v>
      </c>
      <c r="K175" t="s">
        <v>58</v>
      </c>
      <c r="L175" s="19">
        <v>1</v>
      </c>
      <c r="M175" s="20">
        <v>1199000</v>
      </c>
      <c r="N175" s="20">
        <v>979200</v>
      </c>
      <c r="O175" s="20">
        <f t="shared" si="8"/>
        <v>219800</v>
      </c>
      <c r="P175" t="s">
        <v>24</v>
      </c>
    </row>
    <row r="176" spans="1:16">
      <c r="A176" t="s">
        <v>256</v>
      </c>
      <c r="B176" s="18">
        <v>45810</v>
      </c>
      <c r="C176" s="19">
        <f t="shared" si="6"/>
        <v>2025</v>
      </c>
      <c r="D176" s="19" t="str">
        <f t="shared" si="7"/>
        <v>Jun</v>
      </c>
      <c r="E176" t="s">
        <v>17</v>
      </c>
      <c r="F176" t="s">
        <v>51</v>
      </c>
      <c r="G176" t="s">
        <v>52</v>
      </c>
      <c r="H176" t="s">
        <v>70</v>
      </c>
      <c r="I176" t="s">
        <v>48</v>
      </c>
      <c r="J176" t="s">
        <v>49</v>
      </c>
      <c r="K176" t="s">
        <v>42</v>
      </c>
      <c r="L176" s="19">
        <v>1</v>
      </c>
      <c r="M176" s="20">
        <v>1273000</v>
      </c>
      <c r="N176" s="20">
        <v>1037300</v>
      </c>
      <c r="O176" s="20">
        <f t="shared" si="8"/>
        <v>235700</v>
      </c>
      <c r="P176" t="s">
        <v>37</v>
      </c>
    </row>
    <row r="177" spans="1:16">
      <c r="A177" t="s">
        <v>257</v>
      </c>
      <c r="B177" s="18">
        <v>45811</v>
      </c>
      <c r="C177" s="19">
        <f t="shared" si="6"/>
        <v>2025</v>
      </c>
      <c r="D177" s="19" t="str">
        <f t="shared" si="7"/>
        <v>Jun</v>
      </c>
      <c r="E177" t="s">
        <v>33</v>
      </c>
      <c r="F177" t="s">
        <v>92</v>
      </c>
      <c r="G177" t="s">
        <v>93</v>
      </c>
      <c r="H177" t="s">
        <v>94</v>
      </c>
      <c r="I177" t="s">
        <v>56</v>
      </c>
      <c r="J177" t="s">
        <v>57</v>
      </c>
      <c r="K177" t="s">
        <v>58</v>
      </c>
      <c r="L177" s="19">
        <v>1</v>
      </c>
      <c r="M177" s="20">
        <v>1222000</v>
      </c>
      <c r="N177" s="20">
        <v>1003100</v>
      </c>
      <c r="O177" s="20">
        <f t="shared" si="8"/>
        <v>218900</v>
      </c>
      <c r="P177" t="s">
        <v>31</v>
      </c>
    </row>
    <row r="178" spans="1:16">
      <c r="A178" t="s">
        <v>258</v>
      </c>
      <c r="B178" s="18">
        <v>45811</v>
      </c>
      <c r="C178" s="19">
        <f t="shared" si="6"/>
        <v>2025</v>
      </c>
      <c r="D178" s="19" t="str">
        <f t="shared" si="7"/>
        <v>Jun</v>
      </c>
      <c r="E178" t="s">
        <v>44</v>
      </c>
      <c r="F178" t="s">
        <v>118</v>
      </c>
      <c r="G178" t="s">
        <v>119</v>
      </c>
      <c r="H178" t="s">
        <v>120</v>
      </c>
      <c r="I178" t="s">
        <v>121</v>
      </c>
      <c r="J178" t="s">
        <v>57</v>
      </c>
      <c r="K178" t="s">
        <v>42</v>
      </c>
      <c r="L178" s="19">
        <v>1</v>
      </c>
      <c r="M178" s="20">
        <v>1619000</v>
      </c>
      <c r="N178" s="20">
        <v>1343300</v>
      </c>
      <c r="O178" s="20">
        <f t="shared" si="8"/>
        <v>275700</v>
      </c>
      <c r="P178" t="s">
        <v>72</v>
      </c>
    </row>
    <row r="179" spans="1:16">
      <c r="A179" t="s">
        <v>259</v>
      </c>
      <c r="B179" s="18">
        <v>45812</v>
      </c>
      <c r="C179" s="19">
        <f t="shared" si="6"/>
        <v>2025</v>
      </c>
      <c r="D179" s="19" t="str">
        <f t="shared" si="7"/>
        <v>Jun</v>
      </c>
      <c r="E179" t="s">
        <v>44</v>
      </c>
      <c r="F179" t="s">
        <v>45</v>
      </c>
      <c r="G179" t="s">
        <v>46</v>
      </c>
      <c r="H179" t="s">
        <v>47</v>
      </c>
      <c r="I179" t="s">
        <v>121</v>
      </c>
      <c r="J179" t="s">
        <v>57</v>
      </c>
      <c r="K179" t="s">
        <v>42</v>
      </c>
      <c r="L179" s="19">
        <v>1</v>
      </c>
      <c r="M179" s="20">
        <v>1565000</v>
      </c>
      <c r="N179" s="20">
        <v>1344900</v>
      </c>
      <c r="O179" s="20">
        <f t="shared" si="8"/>
        <v>220100</v>
      </c>
      <c r="P179" t="s">
        <v>37</v>
      </c>
    </row>
    <row r="180" spans="1:16">
      <c r="A180" t="s">
        <v>260</v>
      </c>
      <c r="B180" s="18">
        <v>45814</v>
      </c>
      <c r="C180" s="19">
        <f t="shared" si="6"/>
        <v>2025</v>
      </c>
      <c r="D180" s="19" t="str">
        <f t="shared" si="7"/>
        <v>Jun</v>
      </c>
      <c r="E180" t="s">
        <v>17</v>
      </c>
      <c r="F180" t="s">
        <v>51</v>
      </c>
      <c r="G180" t="s">
        <v>52</v>
      </c>
      <c r="H180" t="s">
        <v>70</v>
      </c>
      <c r="I180" t="s">
        <v>68</v>
      </c>
      <c r="J180" t="s">
        <v>49</v>
      </c>
      <c r="K180" t="s">
        <v>58</v>
      </c>
      <c r="L180" s="19">
        <v>1</v>
      </c>
      <c r="M180" s="20">
        <v>912000</v>
      </c>
      <c r="N180" s="20">
        <v>757700</v>
      </c>
      <c r="O180" s="20">
        <f t="shared" si="8"/>
        <v>154300</v>
      </c>
      <c r="P180" t="s">
        <v>24</v>
      </c>
    </row>
    <row r="181" spans="1:16">
      <c r="A181" t="s">
        <v>261</v>
      </c>
      <c r="B181" s="18">
        <v>45814</v>
      </c>
      <c r="C181" s="19">
        <f t="shared" si="6"/>
        <v>2025</v>
      </c>
      <c r="D181" s="19" t="str">
        <f t="shared" si="7"/>
        <v>Jun</v>
      </c>
      <c r="E181" t="s">
        <v>33</v>
      </c>
      <c r="F181" t="s">
        <v>34</v>
      </c>
      <c r="G181" t="s">
        <v>34</v>
      </c>
      <c r="H181" t="s">
        <v>102</v>
      </c>
      <c r="I181" t="s">
        <v>48</v>
      </c>
      <c r="J181" t="s">
        <v>49</v>
      </c>
      <c r="K181" t="s">
        <v>42</v>
      </c>
      <c r="L181" s="19">
        <v>1</v>
      </c>
      <c r="M181" s="20">
        <v>1211000</v>
      </c>
      <c r="N181" s="20">
        <v>1030500</v>
      </c>
      <c r="O181" s="20">
        <f t="shared" si="8"/>
        <v>180500</v>
      </c>
      <c r="P181" t="s">
        <v>31</v>
      </c>
    </row>
    <row r="182" spans="1:16">
      <c r="A182" t="s">
        <v>262</v>
      </c>
      <c r="B182" s="18">
        <v>45815</v>
      </c>
      <c r="C182" s="19">
        <f t="shared" si="6"/>
        <v>2025</v>
      </c>
      <c r="D182" s="19" t="str">
        <f t="shared" si="7"/>
        <v>Jun</v>
      </c>
      <c r="E182" t="s">
        <v>33</v>
      </c>
      <c r="F182" t="s">
        <v>34</v>
      </c>
      <c r="G182" t="s">
        <v>34</v>
      </c>
      <c r="H182" t="s">
        <v>35</v>
      </c>
      <c r="I182" t="s">
        <v>56</v>
      </c>
      <c r="J182" t="s">
        <v>57</v>
      </c>
      <c r="K182" t="s">
        <v>58</v>
      </c>
      <c r="L182" s="19">
        <v>1</v>
      </c>
      <c r="M182" s="20">
        <v>1196000</v>
      </c>
      <c r="N182" s="20">
        <v>1024200</v>
      </c>
      <c r="O182" s="20">
        <f t="shared" si="8"/>
        <v>171800</v>
      </c>
      <c r="P182" t="s">
        <v>31</v>
      </c>
    </row>
    <row r="183" spans="1:16">
      <c r="A183" t="s">
        <v>263</v>
      </c>
      <c r="B183" s="18">
        <v>45817</v>
      </c>
      <c r="C183" s="19">
        <f t="shared" si="6"/>
        <v>2025</v>
      </c>
      <c r="D183" s="19" t="str">
        <f t="shared" si="7"/>
        <v>Jun</v>
      </c>
      <c r="E183" t="s">
        <v>26</v>
      </c>
      <c r="F183" t="s">
        <v>27</v>
      </c>
      <c r="G183" t="s">
        <v>28</v>
      </c>
      <c r="H183" t="s">
        <v>29</v>
      </c>
      <c r="I183" t="s">
        <v>30</v>
      </c>
      <c r="J183" t="s">
        <v>22</v>
      </c>
      <c r="K183" t="s">
        <v>23</v>
      </c>
      <c r="L183" s="19">
        <v>1</v>
      </c>
      <c r="M183" s="20">
        <v>1816000</v>
      </c>
      <c r="N183" s="20">
        <v>1454700</v>
      </c>
      <c r="O183" s="20">
        <f t="shared" si="8"/>
        <v>361300</v>
      </c>
      <c r="P183" t="s">
        <v>72</v>
      </c>
    </row>
    <row r="184" spans="1:16">
      <c r="A184" t="s">
        <v>264</v>
      </c>
      <c r="B184" s="18">
        <v>45817</v>
      </c>
      <c r="C184" s="19">
        <f t="shared" si="6"/>
        <v>2025</v>
      </c>
      <c r="D184" s="19" t="str">
        <f t="shared" si="7"/>
        <v>Jun</v>
      </c>
      <c r="E184" t="s">
        <v>17</v>
      </c>
      <c r="F184" t="s">
        <v>18</v>
      </c>
      <c r="G184" t="s">
        <v>19</v>
      </c>
      <c r="H184" t="s">
        <v>20</v>
      </c>
      <c r="I184" t="s">
        <v>68</v>
      </c>
      <c r="J184" t="s">
        <v>49</v>
      </c>
      <c r="K184" t="s">
        <v>58</v>
      </c>
      <c r="L184" s="19">
        <v>1</v>
      </c>
      <c r="M184" s="20">
        <v>888000</v>
      </c>
      <c r="N184" s="20">
        <v>750100</v>
      </c>
      <c r="O184" s="20">
        <f t="shared" si="8"/>
        <v>137900</v>
      </c>
      <c r="P184" t="s">
        <v>54</v>
      </c>
    </row>
    <row r="185" spans="1:16">
      <c r="A185" t="s">
        <v>265</v>
      </c>
      <c r="B185" s="18">
        <v>45818</v>
      </c>
      <c r="C185" s="19">
        <f t="shared" si="6"/>
        <v>2025</v>
      </c>
      <c r="D185" s="19" t="str">
        <f t="shared" si="7"/>
        <v>Jun</v>
      </c>
      <c r="E185" t="s">
        <v>17</v>
      </c>
      <c r="F185" t="s">
        <v>18</v>
      </c>
      <c r="G185" t="s">
        <v>19</v>
      </c>
      <c r="H185" t="s">
        <v>74</v>
      </c>
      <c r="I185" t="s">
        <v>30</v>
      </c>
      <c r="J185" t="s">
        <v>22</v>
      </c>
      <c r="K185" t="s">
        <v>23</v>
      </c>
      <c r="L185" s="19">
        <v>1</v>
      </c>
      <c r="M185" s="20">
        <v>1860000</v>
      </c>
      <c r="N185" s="20">
        <v>1561800</v>
      </c>
      <c r="O185" s="20">
        <f t="shared" si="8"/>
        <v>298200</v>
      </c>
      <c r="P185" t="s">
        <v>37</v>
      </c>
    </row>
    <row r="186" spans="1:16">
      <c r="A186" t="s">
        <v>266</v>
      </c>
      <c r="B186" s="18">
        <v>45819</v>
      </c>
      <c r="C186" s="19">
        <f t="shared" si="6"/>
        <v>2025</v>
      </c>
      <c r="D186" s="19" t="str">
        <f t="shared" si="7"/>
        <v>Jun</v>
      </c>
      <c r="E186" t="s">
        <v>17</v>
      </c>
      <c r="F186" t="s">
        <v>18</v>
      </c>
      <c r="G186" t="s">
        <v>19</v>
      </c>
      <c r="H186" t="s">
        <v>74</v>
      </c>
      <c r="I186" t="s">
        <v>71</v>
      </c>
      <c r="J186" t="s">
        <v>49</v>
      </c>
      <c r="K186" t="s">
        <v>58</v>
      </c>
      <c r="L186" s="19">
        <v>1</v>
      </c>
      <c r="M186" s="20">
        <v>977000</v>
      </c>
      <c r="N186" s="20">
        <v>783300</v>
      </c>
      <c r="O186" s="20">
        <f t="shared" si="8"/>
        <v>193700</v>
      </c>
      <c r="P186" t="s">
        <v>31</v>
      </c>
    </row>
    <row r="187" spans="1:16">
      <c r="A187" t="s">
        <v>267</v>
      </c>
      <c r="B187" s="18">
        <v>45819</v>
      </c>
      <c r="C187" s="19">
        <f t="shared" si="6"/>
        <v>2025</v>
      </c>
      <c r="D187" s="19" t="str">
        <f t="shared" si="7"/>
        <v>Jun</v>
      </c>
      <c r="E187" t="s">
        <v>33</v>
      </c>
      <c r="F187" t="s">
        <v>92</v>
      </c>
      <c r="G187" t="s">
        <v>93</v>
      </c>
      <c r="H187" t="s">
        <v>94</v>
      </c>
      <c r="I187" t="s">
        <v>68</v>
      </c>
      <c r="J187" t="s">
        <v>49</v>
      </c>
      <c r="K187" t="s">
        <v>58</v>
      </c>
      <c r="L187" s="19">
        <v>1</v>
      </c>
      <c r="M187" s="20">
        <v>942000</v>
      </c>
      <c r="N187" s="20">
        <v>780100</v>
      </c>
      <c r="O187" s="20">
        <f t="shared" si="8"/>
        <v>161900</v>
      </c>
      <c r="P187" t="s">
        <v>24</v>
      </c>
    </row>
    <row r="188" spans="1:16">
      <c r="A188" t="s">
        <v>268</v>
      </c>
      <c r="B188" s="18">
        <v>45820</v>
      </c>
      <c r="C188" s="19">
        <f t="shared" si="6"/>
        <v>2025</v>
      </c>
      <c r="D188" s="19" t="str">
        <f t="shared" si="7"/>
        <v>Jun</v>
      </c>
      <c r="E188" t="s">
        <v>33</v>
      </c>
      <c r="F188" t="s">
        <v>34</v>
      </c>
      <c r="G188" t="s">
        <v>34</v>
      </c>
      <c r="H188" t="s">
        <v>35</v>
      </c>
      <c r="I188" t="s">
        <v>48</v>
      </c>
      <c r="J188" t="s">
        <v>49</v>
      </c>
      <c r="K188" t="s">
        <v>42</v>
      </c>
      <c r="L188" s="19">
        <v>1</v>
      </c>
      <c r="M188" s="20">
        <v>1274000</v>
      </c>
      <c r="N188" s="20">
        <v>1111200</v>
      </c>
      <c r="O188" s="20">
        <f t="shared" si="8"/>
        <v>162800</v>
      </c>
      <c r="P188" t="s">
        <v>78</v>
      </c>
    </row>
    <row r="189" spans="1:16">
      <c r="A189" t="s">
        <v>269</v>
      </c>
      <c r="B189" s="18">
        <v>45820</v>
      </c>
      <c r="C189" s="19">
        <f t="shared" si="6"/>
        <v>2025</v>
      </c>
      <c r="D189" s="19" t="str">
        <f t="shared" si="7"/>
        <v>Jun</v>
      </c>
      <c r="E189" t="s">
        <v>17</v>
      </c>
      <c r="F189" t="s">
        <v>51</v>
      </c>
      <c r="G189" t="s">
        <v>52</v>
      </c>
      <c r="H189" t="s">
        <v>53</v>
      </c>
      <c r="I189" t="s">
        <v>56</v>
      </c>
      <c r="J189" t="s">
        <v>57</v>
      </c>
      <c r="K189" t="s">
        <v>58</v>
      </c>
      <c r="L189" s="19">
        <v>2</v>
      </c>
      <c r="M189" s="20">
        <v>2366000</v>
      </c>
      <c r="N189" s="20">
        <v>2071100</v>
      </c>
      <c r="O189" s="20">
        <f t="shared" si="8"/>
        <v>294900</v>
      </c>
      <c r="P189" t="s">
        <v>31</v>
      </c>
    </row>
    <row r="190" spans="1:16">
      <c r="A190" t="s">
        <v>270</v>
      </c>
      <c r="B190" s="18">
        <v>45823</v>
      </c>
      <c r="C190" s="19">
        <f t="shared" si="6"/>
        <v>2025</v>
      </c>
      <c r="D190" s="19" t="str">
        <f t="shared" si="7"/>
        <v>Jun</v>
      </c>
      <c r="E190" t="s">
        <v>26</v>
      </c>
      <c r="F190" t="s">
        <v>131</v>
      </c>
      <c r="G190" t="s">
        <v>132</v>
      </c>
      <c r="H190" t="s">
        <v>133</v>
      </c>
      <c r="I190" t="s">
        <v>56</v>
      </c>
      <c r="J190" t="s">
        <v>57</v>
      </c>
      <c r="K190" t="s">
        <v>58</v>
      </c>
      <c r="L190" s="19">
        <v>2</v>
      </c>
      <c r="M190" s="20">
        <v>2378000</v>
      </c>
      <c r="N190" s="20">
        <v>2076100</v>
      </c>
      <c r="O190" s="20">
        <f t="shared" si="8"/>
        <v>301900</v>
      </c>
      <c r="P190" t="s">
        <v>37</v>
      </c>
    </row>
    <row r="191" spans="1:16">
      <c r="A191" t="s">
        <v>271</v>
      </c>
      <c r="B191" s="18">
        <v>45823</v>
      </c>
      <c r="C191" s="19">
        <f t="shared" si="6"/>
        <v>2025</v>
      </c>
      <c r="D191" s="19" t="str">
        <f t="shared" si="7"/>
        <v>Jun</v>
      </c>
      <c r="E191" t="s">
        <v>44</v>
      </c>
      <c r="F191" t="s">
        <v>118</v>
      </c>
      <c r="G191" t="s">
        <v>119</v>
      </c>
      <c r="H191" t="s">
        <v>120</v>
      </c>
      <c r="I191" t="s">
        <v>121</v>
      </c>
      <c r="J191" t="s">
        <v>57</v>
      </c>
      <c r="K191" t="s">
        <v>42</v>
      </c>
      <c r="L191" s="19">
        <v>1</v>
      </c>
      <c r="M191" s="20">
        <v>1528000</v>
      </c>
      <c r="N191" s="20">
        <v>1320300</v>
      </c>
      <c r="O191" s="20">
        <f t="shared" si="8"/>
        <v>207700</v>
      </c>
      <c r="P191" t="s">
        <v>24</v>
      </c>
    </row>
    <row r="192" spans="1:16">
      <c r="A192" t="s">
        <v>272</v>
      </c>
      <c r="B192" s="18">
        <v>45824</v>
      </c>
      <c r="C192" s="19">
        <f t="shared" si="6"/>
        <v>2025</v>
      </c>
      <c r="D192" s="19" t="str">
        <f t="shared" si="7"/>
        <v>Jun</v>
      </c>
      <c r="E192" t="s">
        <v>26</v>
      </c>
      <c r="F192" t="s">
        <v>27</v>
      </c>
      <c r="G192" t="s">
        <v>28</v>
      </c>
      <c r="H192" t="s">
        <v>29</v>
      </c>
      <c r="I192" t="s">
        <v>68</v>
      </c>
      <c r="J192" t="s">
        <v>49</v>
      </c>
      <c r="K192" t="s">
        <v>58</v>
      </c>
      <c r="L192" s="19">
        <v>1</v>
      </c>
      <c r="M192" s="20">
        <v>918000</v>
      </c>
      <c r="N192" s="20">
        <v>755400</v>
      </c>
      <c r="O192" s="20">
        <f t="shared" si="8"/>
        <v>162600</v>
      </c>
      <c r="P192" t="s">
        <v>24</v>
      </c>
    </row>
    <row r="193" spans="1:16">
      <c r="A193" t="s">
        <v>273</v>
      </c>
      <c r="B193" s="18">
        <v>45827</v>
      </c>
      <c r="C193" s="19">
        <f t="shared" si="6"/>
        <v>2025</v>
      </c>
      <c r="D193" s="19" t="str">
        <f t="shared" si="7"/>
        <v>Jun</v>
      </c>
      <c r="E193" t="s">
        <v>17</v>
      </c>
      <c r="F193" t="s">
        <v>18</v>
      </c>
      <c r="G193" t="s">
        <v>19</v>
      </c>
      <c r="H193" t="s">
        <v>74</v>
      </c>
      <c r="I193" t="s">
        <v>68</v>
      </c>
      <c r="J193" t="s">
        <v>49</v>
      </c>
      <c r="K193" t="s">
        <v>58</v>
      </c>
      <c r="L193" s="19">
        <v>2</v>
      </c>
      <c r="M193" s="20">
        <v>1839000</v>
      </c>
      <c r="N193" s="20">
        <v>1585600</v>
      </c>
      <c r="O193" s="20">
        <f t="shared" si="8"/>
        <v>253400</v>
      </c>
      <c r="P193" t="s">
        <v>72</v>
      </c>
    </row>
    <row r="194" spans="1:16">
      <c r="A194" t="s">
        <v>274</v>
      </c>
      <c r="B194" s="18">
        <v>45828</v>
      </c>
      <c r="C194" s="19">
        <f t="shared" ref="C194:C257" si="9">YEAR(B194)</f>
        <v>2025</v>
      </c>
      <c r="D194" s="19" t="str">
        <f t="shared" ref="D194:D257" si="10">CHOOSE(MONTH(B194),"Jan","Feb","Mar","Apr","May","Jun","Jul","Aug","Sep","Oct","Nov","Dec")</f>
        <v>Jun</v>
      </c>
      <c r="E194" t="s">
        <v>17</v>
      </c>
      <c r="F194" t="s">
        <v>18</v>
      </c>
      <c r="G194" t="s">
        <v>19</v>
      </c>
      <c r="H194" t="s">
        <v>74</v>
      </c>
      <c r="I194" t="s">
        <v>71</v>
      </c>
      <c r="J194" t="s">
        <v>49</v>
      </c>
      <c r="K194" t="s">
        <v>58</v>
      </c>
      <c r="L194" s="19">
        <v>1</v>
      </c>
      <c r="M194" s="20">
        <v>1036000</v>
      </c>
      <c r="N194" s="20">
        <v>841000</v>
      </c>
      <c r="O194" s="20">
        <f t="shared" ref="O194:O257" si="11">M194-N194</f>
        <v>195000</v>
      </c>
      <c r="P194" t="s">
        <v>24</v>
      </c>
    </row>
    <row r="195" spans="1:16">
      <c r="A195" t="s">
        <v>275</v>
      </c>
      <c r="B195" s="18">
        <v>45830</v>
      </c>
      <c r="C195" s="19">
        <f t="shared" si="9"/>
        <v>2025</v>
      </c>
      <c r="D195" s="19" t="str">
        <f t="shared" si="10"/>
        <v>Jun</v>
      </c>
      <c r="E195" t="s">
        <v>33</v>
      </c>
      <c r="F195" t="s">
        <v>92</v>
      </c>
      <c r="G195" t="s">
        <v>93</v>
      </c>
      <c r="H195" t="s">
        <v>94</v>
      </c>
      <c r="I195" t="s">
        <v>71</v>
      </c>
      <c r="J195" t="s">
        <v>49</v>
      </c>
      <c r="K195" t="s">
        <v>58</v>
      </c>
      <c r="L195" s="19">
        <v>1</v>
      </c>
      <c r="M195" s="20">
        <v>1025000</v>
      </c>
      <c r="N195" s="20">
        <v>821300</v>
      </c>
      <c r="O195" s="20">
        <f t="shared" si="11"/>
        <v>203700</v>
      </c>
      <c r="P195" t="s">
        <v>31</v>
      </c>
    </row>
    <row r="196" spans="1:16">
      <c r="A196" t="s">
        <v>276</v>
      </c>
      <c r="B196" s="18">
        <v>45831</v>
      </c>
      <c r="C196" s="19">
        <f t="shared" si="9"/>
        <v>2025</v>
      </c>
      <c r="D196" s="19" t="str">
        <f t="shared" si="10"/>
        <v>Jun</v>
      </c>
      <c r="E196" t="s">
        <v>17</v>
      </c>
      <c r="F196" t="s">
        <v>18</v>
      </c>
      <c r="G196" t="s">
        <v>60</v>
      </c>
      <c r="H196" t="s">
        <v>61</v>
      </c>
      <c r="I196" t="s">
        <v>40</v>
      </c>
      <c r="J196" t="s">
        <v>41</v>
      </c>
      <c r="K196" t="s">
        <v>42</v>
      </c>
      <c r="L196" s="19">
        <v>1</v>
      </c>
      <c r="M196" s="20">
        <v>1750000</v>
      </c>
      <c r="N196" s="20">
        <v>1495100</v>
      </c>
      <c r="O196" s="20">
        <f t="shared" si="11"/>
        <v>254900</v>
      </c>
      <c r="P196" t="s">
        <v>31</v>
      </c>
    </row>
    <row r="197" spans="1:16">
      <c r="A197" t="s">
        <v>277</v>
      </c>
      <c r="B197" s="18">
        <v>45832</v>
      </c>
      <c r="C197" s="19">
        <f t="shared" si="9"/>
        <v>2025</v>
      </c>
      <c r="D197" s="19" t="str">
        <f t="shared" si="10"/>
        <v>Jun</v>
      </c>
      <c r="E197" t="s">
        <v>26</v>
      </c>
      <c r="F197" t="s">
        <v>65</v>
      </c>
      <c r="G197" t="s">
        <v>66</v>
      </c>
      <c r="H197" t="s">
        <v>67</v>
      </c>
      <c r="I197" t="s">
        <v>68</v>
      </c>
      <c r="J197" t="s">
        <v>49</v>
      </c>
      <c r="K197" t="s">
        <v>58</v>
      </c>
      <c r="L197" s="19">
        <v>1</v>
      </c>
      <c r="M197" s="20">
        <v>925000</v>
      </c>
      <c r="N197" s="20">
        <v>789800</v>
      </c>
      <c r="O197" s="20">
        <f t="shared" si="11"/>
        <v>135200</v>
      </c>
      <c r="P197" t="s">
        <v>24</v>
      </c>
    </row>
    <row r="198" spans="1:16">
      <c r="A198" t="s">
        <v>278</v>
      </c>
      <c r="B198" s="18">
        <v>45832</v>
      </c>
      <c r="C198" s="19">
        <f t="shared" si="9"/>
        <v>2025</v>
      </c>
      <c r="D198" s="19" t="str">
        <f t="shared" si="10"/>
        <v>Jun</v>
      </c>
      <c r="E198" t="s">
        <v>33</v>
      </c>
      <c r="F198" t="s">
        <v>92</v>
      </c>
      <c r="G198" t="s">
        <v>93</v>
      </c>
      <c r="H198" t="s">
        <v>94</v>
      </c>
      <c r="I198" t="s">
        <v>56</v>
      </c>
      <c r="J198" t="s">
        <v>57</v>
      </c>
      <c r="K198" t="s">
        <v>58</v>
      </c>
      <c r="L198" s="19">
        <v>1</v>
      </c>
      <c r="M198" s="20">
        <v>1207000</v>
      </c>
      <c r="N198" s="20">
        <v>1002200</v>
      </c>
      <c r="O198" s="20">
        <f t="shared" si="11"/>
        <v>204800</v>
      </c>
      <c r="P198" t="s">
        <v>72</v>
      </c>
    </row>
    <row r="199" spans="1:16">
      <c r="A199" t="s">
        <v>279</v>
      </c>
      <c r="B199" s="18">
        <v>45833</v>
      </c>
      <c r="C199" s="19">
        <f t="shared" si="9"/>
        <v>2025</v>
      </c>
      <c r="D199" s="19" t="str">
        <f t="shared" si="10"/>
        <v>Jun</v>
      </c>
      <c r="E199" t="s">
        <v>17</v>
      </c>
      <c r="F199" t="s">
        <v>18</v>
      </c>
      <c r="G199" t="s">
        <v>19</v>
      </c>
      <c r="H199" t="s">
        <v>20</v>
      </c>
      <c r="I199" t="s">
        <v>21</v>
      </c>
      <c r="J199" t="s">
        <v>22</v>
      </c>
      <c r="K199" t="s">
        <v>23</v>
      </c>
      <c r="L199" s="19">
        <v>1</v>
      </c>
      <c r="M199" s="20">
        <v>1906000</v>
      </c>
      <c r="N199" s="20">
        <v>1563100</v>
      </c>
      <c r="O199" s="20">
        <f t="shared" si="11"/>
        <v>342900</v>
      </c>
      <c r="P199" t="s">
        <v>37</v>
      </c>
    </row>
    <row r="200" spans="1:16">
      <c r="A200" t="s">
        <v>280</v>
      </c>
      <c r="B200" s="18">
        <v>45836</v>
      </c>
      <c r="C200" s="19">
        <f t="shared" si="9"/>
        <v>2025</v>
      </c>
      <c r="D200" s="19" t="str">
        <f t="shared" si="10"/>
        <v>Jun</v>
      </c>
      <c r="E200" t="s">
        <v>17</v>
      </c>
      <c r="F200" t="s">
        <v>18</v>
      </c>
      <c r="G200" t="s">
        <v>19</v>
      </c>
      <c r="H200" t="s">
        <v>20</v>
      </c>
      <c r="I200" t="s">
        <v>68</v>
      </c>
      <c r="J200" t="s">
        <v>49</v>
      </c>
      <c r="K200" t="s">
        <v>58</v>
      </c>
      <c r="L200" s="19">
        <v>1</v>
      </c>
      <c r="M200" s="20">
        <v>929000</v>
      </c>
      <c r="N200" s="20">
        <v>750500</v>
      </c>
      <c r="O200" s="20">
        <f t="shared" si="11"/>
        <v>178500</v>
      </c>
      <c r="P200" t="s">
        <v>37</v>
      </c>
    </row>
    <row r="201" spans="1:16">
      <c r="A201" t="s">
        <v>281</v>
      </c>
      <c r="B201" s="18">
        <v>45837</v>
      </c>
      <c r="C201" s="19">
        <f t="shared" si="9"/>
        <v>2025</v>
      </c>
      <c r="D201" s="19" t="str">
        <f t="shared" si="10"/>
        <v>Jun</v>
      </c>
      <c r="E201" t="s">
        <v>17</v>
      </c>
      <c r="F201" t="s">
        <v>51</v>
      </c>
      <c r="G201" t="s">
        <v>52</v>
      </c>
      <c r="H201" t="s">
        <v>70</v>
      </c>
      <c r="I201" t="s">
        <v>63</v>
      </c>
      <c r="J201" t="s">
        <v>41</v>
      </c>
      <c r="K201" t="s">
        <v>58</v>
      </c>
      <c r="L201" s="19">
        <v>1</v>
      </c>
      <c r="M201" s="20">
        <v>1352000</v>
      </c>
      <c r="N201" s="20">
        <v>1105600</v>
      </c>
      <c r="O201" s="20">
        <f t="shared" si="11"/>
        <v>246400</v>
      </c>
      <c r="P201" t="s">
        <v>37</v>
      </c>
    </row>
    <row r="202" spans="1:16">
      <c r="A202" t="s">
        <v>282</v>
      </c>
      <c r="B202" s="18">
        <v>45838</v>
      </c>
      <c r="C202" s="19">
        <f t="shared" si="9"/>
        <v>2025</v>
      </c>
      <c r="D202" s="19" t="str">
        <f t="shared" si="10"/>
        <v>Jun</v>
      </c>
      <c r="E202" t="s">
        <v>33</v>
      </c>
      <c r="F202" t="s">
        <v>92</v>
      </c>
      <c r="G202" t="s">
        <v>93</v>
      </c>
      <c r="H202" t="s">
        <v>94</v>
      </c>
      <c r="I202" t="s">
        <v>71</v>
      </c>
      <c r="J202" t="s">
        <v>49</v>
      </c>
      <c r="K202" t="s">
        <v>58</v>
      </c>
      <c r="L202" s="19">
        <v>1</v>
      </c>
      <c r="M202" s="20">
        <v>1018000</v>
      </c>
      <c r="N202" s="20">
        <v>894900</v>
      </c>
      <c r="O202" s="20">
        <f t="shared" si="11"/>
        <v>123100</v>
      </c>
      <c r="P202" t="s">
        <v>31</v>
      </c>
    </row>
    <row r="203" spans="1:16">
      <c r="A203" t="s">
        <v>283</v>
      </c>
      <c r="B203" s="18">
        <v>45839</v>
      </c>
      <c r="C203" s="19">
        <f t="shared" si="9"/>
        <v>2025</v>
      </c>
      <c r="D203" s="19" t="str">
        <f t="shared" si="10"/>
        <v>Jul</v>
      </c>
      <c r="E203" t="s">
        <v>33</v>
      </c>
      <c r="F203" t="s">
        <v>34</v>
      </c>
      <c r="G203" t="s">
        <v>34</v>
      </c>
      <c r="H203" t="s">
        <v>35</v>
      </c>
      <c r="I203" t="s">
        <v>40</v>
      </c>
      <c r="J203" t="s">
        <v>41</v>
      </c>
      <c r="K203" t="s">
        <v>42</v>
      </c>
      <c r="L203" s="19">
        <v>1</v>
      </c>
      <c r="M203" s="20">
        <v>1689000</v>
      </c>
      <c r="N203" s="20">
        <v>1481400</v>
      </c>
      <c r="O203" s="20">
        <f t="shared" si="11"/>
        <v>207600</v>
      </c>
      <c r="P203" t="s">
        <v>37</v>
      </c>
    </row>
    <row r="204" spans="1:16">
      <c r="A204" t="s">
        <v>284</v>
      </c>
      <c r="B204" s="18">
        <v>45839</v>
      </c>
      <c r="C204" s="19">
        <f t="shared" si="9"/>
        <v>2025</v>
      </c>
      <c r="D204" s="19" t="str">
        <f t="shared" si="10"/>
        <v>Jul</v>
      </c>
      <c r="E204" t="s">
        <v>26</v>
      </c>
      <c r="F204" t="s">
        <v>65</v>
      </c>
      <c r="G204" t="s">
        <v>66</v>
      </c>
      <c r="H204" t="s">
        <v>67</v>
      </c>
      <c r="I204" t="s">
        <v>68</v>
      </c>
      <c r="J204" t="s">
        <v>49</v>
      </c>
      <c r="K204" t="s">
        <v>58</v>
      </c>
      <c r="L204" s="19">
        <v>1</v>
      </c>
      <c r="M204" s="20">
        <v>910000</v>
      </c>
      <c r="N204" s="20">
        <v>782500</v>
      </c>
      <c r="O204" s="20">
        <f t="shared" si="11"/>
        <v>127500</v>
      </c>
      <c r="P204" t="s">
        <v>31</v>
      </c>
    </row>
    <row r="205" spans="1:16">
      <c r="A205" t="s">
        <v>285</v>
      </c>
      <c r="B205" s="18">
        <v>45840</v>
      </c>
      <c r="C205" s="19">
        <f t="shared" si="9"/>
        <v>2025</v>
      </c>
      <c r="D205" s="19" t="str">
        <f t="shared" si="10"/>
        <v>Jul</v>
      </c>
      <c r="E205" t="s">
        <v>26</v>
      </c>
      <c r="F205" t="s">
        <v>27</v>
      </c>
      <c r="G205" t="s">
        <v>28</v>
      </c>
      <c r="H205" t="s">
        <v>39</v>
      </c>
      <c r="I205" t="s">
        <v>63</v>
      </c>
      <c r="J205" t="s">
        <v>41</v>
      </c>
      <c r="K205" t="s">
        <v>58</v>
      </c>
      <c r="L205" s="19">
        <v>1</v>
      </c>
      <c r="M205" s="20">
        <v>1344000</v>
      </c>
      <c r="N205" s="20">
        <v>1094500</v>
      </c>
      <c r="O205" s="20">
        <f t="shared" si="11"/>
        <v>249500</v>
      </c>
      <c r="P205" t="s">
        <v>31</v>
      </c>
    </row>
    <row r="206" spans="1:16">
      <c r="A206" t="s">
        <v>286</v>
      </c>
      <c r="B206" s="18">
        <v>45841</v>
      </c>
      <c r="C206" s="19">
        <f t="shared" si="9"/>
        <v>2025</v>
      </c>
      <c r="D206" s="19" t="str">
        <f t="shared" si="10"/>
        <v>Jul</v>
      </c>
      <c r="E206" t="s">
        <v>33</v>
      </c>
      <c r="F206" t="s">
        <v>34</v>
      </c>
      <c r="G206" t="s">
        <v>34</v>
      </c>
      <c r="H206" t="s">
        <v>102</v>
      </c>
      <c r="I206" t="s">
        <v>48</v>
      </c>
      <c r="J206" t="s">
        <v>49</v>
      </c>
      <c r="K206" t="s">
        <v>42</v>
      </c>
      <c r="L206" s="19">
        <v>1</v>
      </c>
      <c r="M206" s="20">
        <v>1266000</v>
      </c>
      <c r="N206" s="20">
        <v>1066000</v>
      </c>
      <c r="O206" s="20">
        <f t="shared" si="11"/>
        <v>200000</v>
      </c>
      <c r="P206" t="s">
        <v>24</v>
      </c>
    </row>
    <row r="207" spans="1:16">
      <c r="A207" t="s">
        <v>287</v>
      </c>
      <c r="B207" s="18">
        <v>45842</v>
      </c>
      <c r="C207" s="19">
        <f t="shared" si="9"/>
        <v>2025</v>
      </c>
      <c r="D207" s="19" t="str">
        <f t="shared" si="10"/>
        <v>Jul</v>
      </c>
      <c r="E207" t="s">
        <v>17</v>
      </c>
      <c r="F207" t="s">
        <v>51</v>
      </c>
      <c r="G207" t="s">
        <v>98</v>
      </c>
      <c r="H207" t="s">
        <v>99</v>
      </c>
      <c r="I207" t="s">
        <v>71</v>
      </c>
      <c r="J207" t="s">
        <v>49</v>
      </c>
      <c r="K207" t="s">
        <v>58</v>
      </c>
      <c r="L207" s="19">
        <v>1</v>
      </c>
      <c r="M207" s="20">
        <v>996000</v>
      </c>
      <c r="N207" s="20">
        <v>810000</v>
      </c>
      <c r="O207" s="20">
        <f t="shared" si="11"/>
        <v>186000</v>
      </c>
      <c r="P207" t="s">
        <v>78</v>
      </c>
    </row>
    <row r="208" spans="1:16">
      <c r="A208" t="s">
        <v>288</v>
      </c>
      <c r="B208" s="18">
        <v>45844</v>
      </c>
      <c r="C208" s="19">
        <f t="shared" si="9"/>
        <v>2025</v>
      </c>
      <c r="D208" s="19" t="str">
        <f t="shared" si="10"/>
        <v>Jul</v>
      </c>
      <c r="E208" t="s">
        <v>17</v>
      </c>
      <c r="F208" t="s">
        <v>18</v>
      </c>
      <c r="G208" t="s">
        <v>19</v>
      </c>
      <c r="H208" t="s">
        <v>20</v>
      </c>
      <c r="I208" t="s">
        <v>121</v>
      </c>
      <c r="J208" t="s">
        <v>57</v>
      </c>
      <c r="K208" t="s">
        <v>42</v>
      </c>
      <c r="L208" s="19">
        <v>1</v>
      </c>
      <c r="M208" s="20">
        <v>1542000</v>
      </c>
      <c r="N208" s="20">
        <v>1262800</v>
      </c>
      <c r="O208" s="20">
        <f t="shared" si="11"/>
        <v>279200</v>
      </c>
      <c r="P208" t="s">
        <v>24</v>
      </c>
    </row>
    <row r="209" spans="1:16">
      <c r="A209" t="s">
        <v>289</v>
      </c>
      <c r="B209" s="18">
        <v>45846</v>
      </c>
      <c r="C209" s="19">
        <f t="shared" si="9"/>
        <v>2025</v>
      </c>
      <c r="D209" s="19" t="str">
        <f t="shared" si="10"/>
        <v>Jul</v>
      </c>
      <c r="E209" t="s">
        <v>33</v>
      </c>
      <c r="F209" t="s">
        <v>34</v>
      </c>
      <c r="G209" t="s">
        <v>34</v>
      </c>
      <c r="H209" t="s">
        <v>102</v>
      </c>
      <c r="I209" t="s">
        <v>71</v>
      </c>
      <c r="J209" t="s">
        <v>49</v>
      </c>
      <c r="K209" t="s">
        <v>58</v>
      </c>
      <c r="L209" s="19">
        <v>1</v>
      </c>
      <c r="M209" s="20">
        <v>1015000</v>
      </c>
      <c r="N209" s="20">
        <v>874200</v>
      </c>
      <c r="O209" s="20">
        <f t="shared" si="11"/>
        <v>140800</v>
      </c>
      <c r="P209" t="s">
        <v>78</v>
      </c>
    </row>
    <row r="210" spans="1:16">
      <c r="A210" t="s">
        <v>290</v>
      </c>
      <c r="B210" s="18">
        <v>45849</v>
      </c>
      <c r="C210" s="19">
        <f t="shared" si="9"/>
        <v>2025</v>
      </c>
      <c r="D210" s="19" t="str">
        <f t="shared" si="10"/>
        <v>Jul</v>
      </c>
      <c r="E210" t="s">
        <v>17</v>
      </c>
      <c r="F210" t="s">
        <v>51</v>
      </c>
      <c r="G210" t="s">
        <v>98</v>
      </c>
      <c r="H210" t="s">
        <v>99</v>
      </c>
      <c r="I210" t="s">
        <v>68</v>
      </c>
      <c r="J210" t="s">
        <v>49</v>
      </c>
      <c r="K210" t="s">
        <v>58</v>
      </c>
      <c r="L210" s="19">
        <v>1</v>
      </c>
      <c r="M210" s="20">
        <v>921000</v>
      </c>
      <c r="N210" s="20">
        <v>802000</v>
      </c>
      <c r="O210" s="20">
        <f t="shared" si="11"/>
        <v>119000</v>
      </c>
      <c r="P210" t="s">
        <v>54</v>
      </c>
    </row>
    <row r="211" spans="1:16">
      <c r="A211" t="s">
        <v>291</v>
      </c>
      <c r="B211" s="18">
        <v>45849</v>
      </c>
      <c r="C211" s="19">
        <f t="shared" si="9"/>
        <v>2025</v>
      </c>
      <c r="D211" s="19" t="str">
        <f t="shared" si="10"/>
        <v>Jul</v>
      </c>
      <c r="E211" t="s">
        <v>33</v>
      </c>
      <c r="F211" t="s">
        <v>81</v>
      </c>
      <c r="G211" t="s">
        <v>82</v>
      </c>
      <c r="H211" t="s">
        <v>83</v>
      </c>
      <c r="I211" t="s">
        <v>56</v>
      </c>
      <c r="J211" t="s">
        <v>57</v>
      </c>
      <c r="K211" t="s">
        <v>58</v>
      </c>
      <c r="L211" s="19">
        <v>1</v>
      </c>
      <c r="M211" s="20">
        <v>1234000</v>
      </c>
      <c r="N211" s="20">
        <v>1015900</v>
      </c>
      <c r="O211" s="20">
        <f t="shared" si="11"/>
        <v>218100</v>
      </c>
      <c r="P211" t="s">
        <v>54</v>
      </c>
    </row>
    <row r="212" spans="1:16">
      <c r="A212" t="s">
        <v>292</v>
      </c>
      <c r="B212" s="18">
        <v>45849</v>
      </c>
      <c r="C212" s="19">
        <f t="shared" si="9"/>
        <v>2025</v>
      </c>
      <c r="D212" s="19" t="str">
        <f t="shared" si="10"/>
        <v>Jul</v>
      </c>
      <c r="E212" t="s">
        <v>17</v>
      </c>
      <c r="F212" t="s">
        <v>51</v>
      </c>
      <c r="G212" t="s">
        <v>52</v>
      </c>
      <c r="H212" t="s">
        <v>53</v>
      </c>
      <c r="I212" t="s">
        <v>48</v>
      </c>
      <c r="J212" t="s">
        <v>49</v>
      </c>
      <c r="K212" t="s">
        <v>42</v>
      </c>
      <c r="L212" s="19">
        <v>1</v>
      </c>
      <c r="M212" s="20">
        <v>1210000</v>
      </c>
      <c r="N212" s="20">
        <v>1028000</v>
      </c>
      <c r="O212" s="20">
        <f t="shared" si="11"/>
        <v>182000</v>
      </c>
      <c r="P212" t="s">
        <v>78</v>
      </c>
    </row>
    <row r="213" spans="1:16">
      <c r="A213" t="s">
        <v>293</v>
      </c>
      <c r="B213" s="18">
        <v>45850</v>
      </c>
      <c r="C213" s="19">
        <f t="shared" si="9"/>
        <v>2025</v>
      </c>
      <c r="D213" s="19" t="str">
        <f t="shared" si="10"/>
        <v>Jul</v>
      </c>
      <c r="E213" t="s">
        <v>26</v>
      </c>
      <c r="F213" t="s">
        <v>65</v>
      </c>
      <c r="G213" t="s">
        <v>66</v>
      </c>
      <c r="H213" t="s">
        <v>67</v>
      </c>
      <c r="I213" t="s">
        <v>121</v>
      </c>
      <c r="J213" t="s">
        <v>57</v>
      </c>
      <c r="K213" t="s">
        <v>42</v>
      </c>
      <c r="L213" s="19">
        <v>1</v>
      </c>
      <c r="M213" s="20">
        <v>1592000</v>
      </c>
      <c r="N213" s="20">
        <v>1374000</v>
      </c>
      <c r="O213" s="20">
        <f t="shared" si="11"/>
        <v>218000</v>
      </c>
      <c r="P213" t="s">
        <v>31</v>
      </c>
    </row>
    <row r="214" spans="1:16">
      <c r="A214" t="s">
        <v>294</v>
      </c>
      <c r="B214" s="18">
        <v>45851</v>
      </c>
      <c r="C214" s="19">
        <f t="shared" si="9"/>
        <v>2025</v>
      </c>
      <c r="D214" s="19" t="str">
        <f t="shared" si="10"/>
        <v>Jul</v>
      </c>
      <c r="E214" t="s">
        <v>17</v>
      </c>
      <c r="F214" t="s">
        <v>18</v>
      </c>
      <c r="G214" t="s">
        <v>19</v>
      </c>
      <c r="H214" t="s">
        <v>74</v>
      </c>
      <c r="I214" t="s">
        <v>48</v>
      </c>
      <c r="J214" t="s">
        <v>49</v>
      </c>
      <c r="K214" t="s">
        <v>42</v>
      </c>
      <c r="L214" s="19">
        <v>1</v>
      </c>
      <c r="M214" s="20">
        <v>1267000</v>
      </c>
      <c r="N214" s="20">
        <v>1079700</v>
      </c>
      <c r="O214" s="20">
        <f t="shared" si="11"/>
        <v>187300</v>
      </c>
      <c r="P214" t="s">
        <v>31</v>
      </c>
    </row>
    <row r="215" spans="1:16">
      <c r="A215" t="s">
        <v>295</v>
      </c>
      <c r="B215" s="18">
        <v>45851</v>
      </c>
      <c r="C215" s="19">
        <f t="shared" si="9"/>
        <v>2025</v>
      </c>
      <c r="D215" s="19" t="str">
        <f t="shared" si="10"/>
        <v>Jul</v>
      </c>
      <c r="E215" t="s">
        <v>17</v>
      </c>
      <c r="F215" t="s">
        <v>18</v>
      </c>
      <c r="G215" t="s">
        <v>60</v>
      </c>
      <c r="H215" t="s">
        <v>61</v>
      </c>
      <c r="I215" t="s">
        <v>71</v>
      </c>
      <c r="J215" t="s">
        <v>49</v>
      </c>
      <c r="K215" t="s">
        <v>58</v>
      </c>
      <c r="L215" s="19">
        <v>1</v>
      </c>
      <c r="M215" s="20">
        <v>986000</v>
      </c>
      <c r="N215" s="20">
        <v>825500</v>
      </c>
      <c r="O215" s="20">
        <f t="shared" si="11"/>
        <v>160500</v>
      </c>
      <c r="P215" t="s">
        <v>78</v>
      </c>
    </row>
    <row r="216" spans="1:16">
      <c r="A216" t="s">
        <v>296</v>
      </c>
      <c r="B216" s="18">
        <v>45852</v>
      </c>
      <c r="C216" s="19">
        <f t="shared" si="9"/>
        <v>2025</v>
      </c>
      <c r="D216" s="19" t="str">
        <f t="shared" si="10"/>
        <v>Jul</v>
      </c>
      <c r="E216" t="s">
        <v>17</v>
      </c>
      <c r="F216" t="s">
        <v>18</v>
      </c>
      <c r="G216" t="s">
        <v>19</v>
      </c>
      <c r="H216" t="s">
        <v>20</v>
      </c>
      <c r="I216" t="s">
        <v>63</v>
      </c>
      <c r="J216" t="s">
        <v>41</v>
      </c>
      <c r="K216" t="s">
        <v>58</v>
      </c>
      <c r="L216" s="19">
        <v>1</v>
      </c>
      <c r="M216" s="20">
        <v>1384000</v>
      </c>
      <c r="N216" s="20">
        <v>1170800</v>
      </c>
      <c r="O216" s="20">
        <f t="shared" si="11"/>
        <v>213200</v>
      </c>
      <c r="P216" t="s">
        <v>78</v>
      </c>
    </row>
    <row r="217" spans="1:16">
      <c r="A217" t="s">
        <v>297</v>
      </c>
      <c r="B217" s="18">
        <v>45853</v>
      </c>
      <c r="C217" s="19">
        <f t="shared" si="9"/>
        <v>2025</v>
      </c>
      <c r="D217" s="19" t="str">
        <f t="shared" si="10"/>
        <v>Jul</v>
      </c>
      <c r="E217" t="s">
        <v>26</v>
      </c>
      <c r="F217" t="s">
        <v>27</v>
      </c>
      <c r="G217" t="s">
        <v>28</v>
      </c>
      <c r="H217" t="s">
        <v>29</v>
      </c>
      <c r="I217" t="s">
        <v>121</v>
      </c>
      <c r="J217" t="s">
        <v>57</v>
      </c>
      <c r="K217" t="s">
        <v>42</v>
      </c>
      <c r="L217" s="19">
        <v>1</v>
      </c>
      <c r="M217" s="20">
        <v>1614000</v>
      </c>
      <c r="N217" s="20">
        <v>1415700</v>
      </c>
      <c r="O217" s="20">
        <f t="shared" si="11"/>
        <v>198300</v>
      </c>
      <c r="P217" t="s">
        <v>24</v>
      </c>
    </row>
    <row r="218" spans="1:16">
      <c r="A218" t="s">
        <v>298</v>
      </c>
      <c r="B218" s="18">
        <v>45853</v>
      </c>
      <c r="C218" s="19">
        <f t="shared" si="9"/>
        <v>2025</v>
      </c>
      <c r="D218" s="19" t="str">
        <f t="shared" si="10"/>
        <v>Jul</v>
      </c>
      <c r="E218" t="s">
        <v>26</v>
      </c>
      <c r="F218" t="s">
        <v>27</v>
      </c>
      <c r="G218" t="s">
        <v>28</v>
      </c>
      <c r="H218" t="s">
        <v>29</v>
      </c>
      <c r="I218" t="s">
        <v>48</v>
      </c>
      <c r="J218" t="s">
        <v>49</v>
      </c>
      <c r="K218" t="s">
        <v>42</v>
      </c>
      <c r="L218" s="19">
        <v>1</v>
      </c>
      <c r="M218" s="20">
        <v>1252000</v>
      </c>
      <c r="N218" s="20">
        <v>1038900</v>
      </c>
      <c r="O218" s="20">
        <f t="shared" si="11"/>
        <v>213100</v>
      </c>
      <c r="P218" t="s">
        <v>24</v>
      </c>
    </row>
    <row r="219" spans="1:16">
      <c r="A219" t="s">
        <v>299</v>
      </c>
      <c r="B219" s="18">
        <v>45854</v>
      </c>
      <c r="C219" s="19">
        <f t="shared" si="9"/>
        <v>2025</v>
      </c>
      <c r="D219" s="19" t="str">
        <f t="shared" si="10"/>
        <v>Jul</v>
      </c>
      <c r="E219" t="s">
        <v>33</v>
      </c>
      <c r="F219" t="s">
        <v>34</v>
      </c>
      <c r="G219" t="s">
        <v>34</v>
      </c>
      <c r="H219" t="s">
        <v>35</v>
      </c>
      <c r="I219" t="s">
        <v>121</v>
      </c>
      <c r="J219" t="s">
        <v>57</v>
      </c>
      <c r="K219" t="s">
        <v>42</v>
      </c>
      <c r="L219" s="19">
        <v>1</v>
      </c>
      <c r="M219" s="20">
        <v>1535000</v>
      </c>
      <c r="N219" s="20">
        <v>1257000</v>
      </c>
      <c r="O219" s="20">
        <f t="shared" si="11"/>
        <v>278000</v>
      </c>
      <c r="P219" t="s">
        <v>31</v>
      </c>
    </row>
    <row r="220" spans="1:16">
      <c r="A220" t="s">
        <v>300</v>
      </c>
      <c r="B220" s="18">
        <v>45855</v>
      </c>
      <c r="C220" s="19">
        <f t="shared" si="9"/>
        <v>2025</v>
      </c>
      <c r="D220" s="19" t="str">
        <f t="shared" si="10"/>
        <v>Jul</v>
      </c>
      <c r="E220" t="s">
        <v>33</v>
      </c>
      <c r="F220" t="s">
        <v>34</v>
      </c>
      <c r="G220" t="s">
        <v>34</v>
      </c>
      <c r="H220" t="s">
        <v>35</v>
      </c>
      <c r="I220" t="s">
        <v>63</v>
      </c>
      <c r="J220" t="s">
        <v>41</v>
      </c>
      <c r="K220" t="s">
        <v>58</v>
      </c>
      <c r="L220" s="19">
        <v>1</v>
      </c>
      <c r="M220" s="20">
        <v>1386000</v>
      </c>
      <c r="N220" s="20">
        <v>1133500</v>
      </c>
      <c r="O220" s="20">
        <f t="shared" si="11"/>
        <v>252500</v>
      </c>
      <c r="P220" t="s">
        <v>31</v>
      </c>
    </row>
    <row r="221" spans="1:16">
      <c r="A221" t="s">
        <v>301</v>
      </c>
      <c r="B221" s="18">
        <v>45856</v>
      </c>
      <c r="C221" s="19">
        <f t="shared" si="9"/>
        <v>2025</v>
      </c>
      <c r="D221" s="19" t="str">
        <f t="shared" si="10"/>
        <v>Jul</v>
      </c>
      <c r="E221" t="s">
        <v>26</v>
      </c>
      <c r="F221" t="s">
        <v>65</v>
      </c>
      <c r="G221" t="s">
        <v>66</v>
      </c>
      <c r="H221" t="s">
        <v>67</v>
      </c>
      <c r="I221" t="s">
        <v>71</v>
      </c>
      <c r="J221" t="s">
        <v>49</v>
      </c>
      <c r="K221" t="s">
        <v>58</v>
      </c>
      <c r="L221" s="19">
        <v>1</v>
      </c>
      <c r="M221" s="20">
        <v>987000</v>
      </c>
      <c r="N221" s="20">
        <v>806900</v>
      </c>
      <c r="O221" s="20">
        <f t="shared" si="11"/>
        <v>180100</v>
      </c>
      <c r="P221" t="s">
        <v>37</v>
      </c>
    </row>
    <row r="222" spans="1:16">
      <c r="A222" t="s">
        <v>302</v>
      </c>
      <c r="B222" s="18">
        <v>45856</v>
      </c>
      <c r="C222" s="19">
        <f t="shared" si="9"/>
        <v>2025</v>
      </c>
      <c r="D222" s="19" t="str">
        <f t="shared" si="10"/>
        <v>Jul</v>
      </c>
      <c r="E222" t="s">
        <v>26</v>
      </c>
      <c r="F222" t="s">
        <v>27</v>
      </c>
      <c r="G222" t="s">
        <v>28</v>
      </c>
      <c r="H222" t="s">
        <v>29</v>
      </c>
      <c r="I222" t="s">
        <v>63</v>
      </c>
      <c r="J222" t="s">
        <v>41</v>
      </c>
      <c r="K222" t="s">
        <v>58</v>
      </c>
      <c r="L222" s="19">
        <v>1</v>
      </c>
      <c r="M222" s="20">
        <v>1341000</v>
      </c>
      <c r="N222" s="20">
        <v>1073000</v>
      </c>
      <c r="O222" s="20">
        <f t="shared" si="11"/>
        <v>268000</v>
      </c>
      <c r="P222" t="s">
        <v>72</v>
      </c>
    </row>
    <row r="223" spans="1:16">
      <c r="A223" t="s">
        <v>303</v>
      </c>
      <c r="B223" s="18">
        <v>45857</v>
      </c>
      <c r="C223" s="19">
        <f t="shared" si="9"/>
        <v>2025</v>
      </c>
      <c r="D223" s="19" t="str">
        <f t="shared" si="10"/>
        <v>Jul</v>
      </c>
      <c r="E223" t="s">
        <v>33</v>
      </c>
      <c r="F223" t="s">
        <v>81</v>
      </c>
      <c r="G223" t="s">
        <v>82</v>
      </c>
      <c r="H223" t="s">
        <v>83</v>
      </c>
      <c r="I223" t="s">
        <v>121</v>
      </c>
      <c r="J223" t="s">
        <v>57</v>
      </c>
      <c r="K223" t="s">
        <v>42</v>
      </c>
      <c r="L223" s="19">
        <v>1</v>
      </c>
      <c r="M223" s="20">
        <v>1593000</v>
      </c>
      <c r="N223" s="20">
        <v>1336900</v>
      </c>
      <c r="O223" s="20">
        <f t="shared" si="11"/>
        <v>256100</v>
      </c>
      <c r="P223" t="s">
        <v>24</v>
      </c>
    </row>
    <row r="224" spans="1:16">
      <c r="A224" t="s">
        <v>304</v>
      </c>
      <c r="B224" s="18">
        <v>45861</v>
      </c>
      <c r="C224" s="19">
        <f t="shared" si="9"/>
        <v>2025</v>
      </c>
      <c r="D224" s="19" t="str">
        <f t="shared" si="10"/>
        <v>Jul</v>
      </c>
      <c r="E224" t="s">
        <v>33</v>
      </c>
      <c r="F224" t="s">
        <v>34</v>
      </c>
      <c r="G224" t="s">
        <v>34</v>
      </c>
      <c r="H224" t="s">
        <v>35</v>
      </c>
      <c r="I224" t="s">
        <v>21</v>
      </c>
      <c r="J224" t="s">
        <v>22</v>
      </c>
      <c r="K224" t="s">
        <v>23</v>
      </c>
      <c r="L224" s="19">
        <v>1</v>
      </c>
      <c r="M224" s="20">
        <v>1874000</v>
      </c>
      <c r="N224" s="20">
        <v>1536300</v>
      </c>
      <c r="O224" s="20">
        <f t="shared" si="11"/>
        <v>337700</v>
      </c>
      <c r="P224" t="s">
        <v>31</v>
      </c>
    </row>
    <row r="225" spans="1:16">
      <c r="A225" t="s">
        <v>305</v>
      </c>
      <c r="B225" s="18">
        <v>45861</v>
      </c>
      <c r="C225" s="19">
        <f t="shared" si="9"/>
        <v>2025</v>
      </c>
      <c r="D225" s="19" t="str">
        <f t="shared" si="10"/>
        <v>Jul</v>
      </c>
      <c r="E225" t="s">
        <v>33</v>
      </c>
      <c r="F225" t="s">
        <v>34</v>
      </c>
      <c r="G225" t="s">
        <v>34</v>
      </c>
      <c r="H225" t="s">
        <v>35</v>
      </c>
      <c r="I225" t="s">
        <v>56</v>
      </c>
      <c r="J225" t="s">
        <v>57</v>
      </c>
      <c r="K225" t="s">
        <v>58</v>
      </c>
      <c r="L225" s="19">
        <v>1</v>
      </c>
      <c r="M225" s="20">
        <v>1184000</v>
      </c>
      <c r="N225" s="20">
        <v>995500</v>
      </c>
      <c r="O225" s="20">
        <f t="shared" si="11"/>
        <v>188500</v>
      </c>
      <c r="P225" t="s">
        <v>72</v>
      </c>
    </row>
    <row r="226" spans="1:16">
      <c r="A226" t="s">
        <v>306</v>
      </c>
      <c r="B226" s="18">
        <v>45863</v>
      </c>
      <c r="C226" s="19">
        <f t="shared" si="9"/>
        <v>2025</v>
      </c>
      <c r="D226" s="19" t="str">
        <f t="shared" si="10"/>
        <v>Jul</v>
      </c>
      <c r="E226" t="s">
        <v>17</v>
      </c>
      <c r="F226" t="s">
        <v>51</v>
      </c>
      <c r="G226" t="s">
        <v>52</v>
      </c>
      <c r="H226" t="s">
        <v>70</v>
      </c>
      <c r="I226" t="s">
        <v>48</v>
      </c>
      <c r="J226" t="s">
        <v>49</v>
      </c>
      <c r="K226" t="s">
        <v>42</v>
      </c>
      <c r="L226" s="19">
        <v>1</v>
      </c>
      <c r="M226" s="20">
        <v>1228000</v>
      </c>
      <c r="N226" s="20">
        <v>1048000</v>
      </c>
      <c r="O226" s="20">
        <f t="shared" si="11"/>
        <v>180000</v>
      </c>
      <c r="P226" t="s">
        <v>31</v>
      </c>
    </row>
    <row r="227" spans="1:16">
      <c r="A227" t="s">
        <v>307</v>
      </c>
      <c r="B227" s="18">
        <v>45863</v>
      </c>
      <c r="C227" s="19">
        <f t="shared" si="9"/>
        <v>2025</v>
      </c>
      <c r="D227" s="19" t="str">
        <f t="shared" si="10"/>
        <v>Jul</v>
      </c>
      <c r="E227" t="s">
        <v>17</v>
      </c>
      <c r="F227" t="s">
        <v>51</v>
      </c>
      <c r="G227" t="s">
        <v>98</v>
      </c>
      <c r="H227" t="s">
        <v>99</v>
      </c>
      <c r="I227" t="s">
        <v>71</v>
      </c>
      <c r="J227" t="s">
        <v>49</v>
      </c>
      <c r="K227" t="s">
        <v>58</v>
      </c>
      <c r="L227" s="19">
        <v>1</v>
      </c>
      <c r="M227" s="20">
        <v>987000</v>
      </c>
      <c r="N227" s="20">
        <v>837700</v>
      </c>
      <c r="O227" s="20">
        <f t="shared" si="11"/>
        <v>149300</v>
      </c>
      <c r="P227" t="s">
        <v>37</v>
      </c>
    </row>
    <row r="228" spans="1:16">
      <c r="A228" t="s">
        <v>308</v>
      </c>
      <c r="B228" s="18">
        <v>45865</v>
      </c>
      <c r="C228" s="19">
        <f t="shared" si="9"/>
        <v>2025</v>
      </c>
      <c r="D228" s="19" t="str">
        <f t="shared" si="10"/>
        <v>Jul</v>
      </c>
      <c r="E228" t="s">
        <v>17</v>
      </c>
      <c r="F228" t="s">
        <v>51</v>
      </c>
      <c r="G228" t="s">
        <v>98</v>
      </c>
      <c r="H228" t="s">
        <v>99</v>
      </c>
      <c r="I228" t="s">
        <v>63</v>
      </c>
      <c r="J228" t="s">
        <v>41</v>
      </c>
      <c r="K228" t="s">
        <v>58</v>
      </c>
      <c r="L228" s="19">
        <v>1</v>
      </c>
      <c r="M228" s="20">
        <v>1318000</v>
      </c>
      <c r="N228" s="20">
        <v>1149800</v>
      </c>
      <c r="O228" s="20">
        <f t="shared" si="11"/>
        <v>168200</v>
      </c>
      <c r="P228" t="s">
        <v>54</v>
      </c>
    </row>
    <row r="229" spans="1:16">
      <c r="A229" t="s">
        <v>309</v>
      </c>
      <c r="B229" s="18">
        <v>45866</v>
      </c>
      <c r="C229" s="19">
        <f t="shared" si="9"/>
        <v>2025</v>
      </c>
      <c r="D229" s="19" t="str">
        <f t="shared" si="10"/>
        <v>Jul</v>
      </c>
      <c r="E229" t="s">
        <v>44</v>
      </c>
      <c r="F229" t="s">
        <v>45</v>
      </c>
      <c r="G229" t="s">
        <v>46</v>
      </c>
      <c r="H229" t="s">
        <v>47</v>
      </c>
      <c r="I229" t="s">
        <v>40</v>
      </c>
      <c r="J229" t="s">
        <v>41</v>
      </c>
      <c r="K229" t="s">
        <v>42</v>
      </c>
      <c r="L229" s="19">
        <v>1</v>
      </c>
      <c r="M229" s="20">
        <v>1754000</v>
      </c>
      <c r="N229" s="20">
        <v>1528000</v>
      </c>
      <c r="O229" s="20">
        <f t="shared" si="11"/>
        <v>226000</v>
      </c>
      <c r="P229" t="s">
        <v>31</v>
      </c>
    </row>
    <row r="230" spans="1:16">
      <c r="A230" t="s">
        <v>310</v>
      </c>
      <c r="B230" s="18">
        <v>45866</v>
      </c>
      <c r="C230" s="19">
        <f t="shared" si="9"/>
        <v>2025</v>
      </c>
      <c r="D230" s="19" t="str">
        <f t="shared" si="10"/>
        <v>Jul</v>
      </c>
      <c r="E230" t="s">
        <v>33</v>
      </c>
      <c r="F230" t="s">
        <v>34</v>
      </c>
      <c r="G230" t="s">
        <v>34</v>
      </c>
      <c r="H230" t="s">
        <v>35</v>
      </c>
      <c r="I230" t="s">
        <v>71</v>
      </c>
      <c r="J230" t="s">
        <v>49</v>
      </c>
      <c r="K230" t="s">
        <v>58</v>
      </c>
      <c r="L230" s="19">
        <v>1</v>
      </c>
      <c r="M230" s="20">
        <v>993000</v>
      </c>
      <c r="N230" s="20">
        <v>799300</v>
      </c>
      <c r="O230" s="20">
        <f t="shared" si="11"/>
        <v>193700</v>
      </c>
      <c r="P230" t="s">
        <v>31</v>
      </c>
    </row>
    <row r="231" spans="1:16">
      <c r="A231" t="s">
        <v>311</v>
      </c>
      <c r="B231" s="18">
        <v>45867</v>
      </c>
      <c r="C231" s="19">
        <f t="shared" si="9"/>
        <v>2025</v>
      </c>
      <c r="D231" s="19" t="str">
        <f t="shared" si="10"/>
        <v>Jul</v>
      </c>
      <c r="E231" t="s">
        <v>17</v>
      </c>
      <c r="F231" t="s">
        <v>18</v>
      </c>
      <c r="G231" t="s">
        <v>19</v>
      </c>
      <c r="H231" t="s">
        <v>74</v>
      </c>
      <c r="I231" t="s">
        <v>36</v>
      </c>
      <c r="J231" t="s">
        <v>22</v>
      </c>
      <c r="K231" t="s">
        <v>23</v>
      </c>
      <c r="L231" s="19">
        <v>1</v>
      </c>
      <c r="M231" s="20">
        <v>13434000</v>
      </c>
      <c r="N231" s="20">
        <v>11776300</v>
      </c>
      <c r="O231" s="20">
        <f t="shared" si="11"/>
        <v>1657700</v>
      </c>
      <c r="P231" t="s">
        <v>54</v>
      </c>
    </row>
    <row r="232" spans="1:16">
      <c r="A232" t="s">
        <v>312</v>
      </c>
      <c r="B232" s="18">
        <v>45867</v>
      </c>
      <c r="C232" s="19">
        <f t="shared" si="9"/>
        <v>2025</v>
      </c>
      <c r="D232" s="19" t="str">
        <f t="shared" si="10"/>
        <v>Jul</v>
      </c>
      <c r="E232" t="s">
        <v>26</v>
      </c>
      <c r="F232" t="s">
        <v>65</v>
      </c>
      <c r="G232" t="s">
        <v>66</v>
      </c>
      <c r="H232" t="s">
        <v>67</v>
      </c>
      <c r="I232" t="s">
        <v>56</v>
      </c>
      <c r="J232" t="s">
        <v>57</v>
      </c>
      <c r="K232" t="s">
        <v>58</v>
      </c>
      <c r="L232" s="19">
        <v>1</v>
      </c>
      <c r="M232" s="20">
        <v>1202000</v>
      </c>
      <c r="N232" s="20">
        <v>968300</v>
      </c>
      <c r="O232" s="20">
        <f t="shared" si="11"/>
        <v>233700</v>
      </c>
      <c r="P232" t="s">
        <v>54</v>
      </c>
    </row>
    <row r="233" spans="1:16">
      <c r="A233" t="s">
        <v>313</v>
      </c>
      <c r="B233" s="18">
        <v>45868</v>
      </c>
      <c r="C233" s="19">
        <f t="shared" si="9"/>
        <v>2025</v>
      </c>
      <c r="D233" s="19" t="str">
        <f t="shared" si="10"/>
        <v>Jul</v>
      </c>
      <c r="E233" t="s">
        <v>26</v>
      </c>
      <c r="F233" t="s">
        <v>27</v>
      </c>
      <c r="G233" t="s">
        <v>28</v>
      </c>
      <c r="H233" t="s">
        <v>39</v>
      </c>
      <c r="I233" t="s">
        <v>40</v>
      </c>
      <c r="J233" t="s">
        <v>41</v>
      </c>
      <c r="K233" t="s">
        <v>42</v>
      </c>
      <c r="L233" s="19">
        <v>1</v>
      </c>
      <c r="M233" s="20">
        <v>1773000</v>
      </c>
      <c r="N233" s="20">
        <v>1487400</v>
      </c>
      <c r="O233" s="20">
        <f t="shared" si="11"/>
        <v>285600</v>
      </c>
      <c r="P233" t="s">
        <v>54</v>
      </c>
    </row>
    <row r="234" spans="1:16">
      <c r="A234" t="s">
        <v>314</v>
      </c>
      <c r="B234" s="18">
        <v>45870</v>
      </c>
      <c r="C234" s="19">
        <f t="shared" si="9"/>
        <v>2025</v>
      </c>
      <c r="D234" s="19" t="str">
        <f t="shared" si="10"/>
        <v>Aug</v>
      </c>
      <c r="E234" t="s">
        <v>26</v>
      </c>
      <c r="F234" t="s">
        <v>131</v>
      </c>
      <c r="G234" t="s">
        <v>132</v>
      </c>
      <c r="H234" t="s">
        <v>133</v>
      </c>
      <c r="I234" t="s">
        <v>48</v>
      </c>
      <c r="J234" t="s">
        <v>49</v>
      </c>
      <c r="K234" t="s">
        <v>42</v>
      </c>
      <c r="L234" s="19">
        <v>1</v>
      </c>
      <c r="M234" s="20">
        <v>1219000</v>
      </c>
      <c r="N234" s="20">
        <v>1007800</v>
      </c>
      <c r="O234" s="20">
        <f t="shared" si="11"/>
        <v>211200</v>
      </c>
      <c r="P234" t="s">
        <v>72</v>
      </c>
    </row>
    <row r="235" spans="1:16">
      <c r="A235" t="s">
        <v>315</v>
      </c>
      <c r="B235" s="18">
        <v>45872</v>
      </c>
      <c r="C235" s="19">
        <f t="shared" si="9"/>
        <v>2025</v>
      </c>
      <c r="D235" s="19" t="str">
        <f t="shared" si="10"/>
        <v>Aug</v>
      </c>
      <c r="E235" t="s">
        <v>17</v>
      </c>
      <c r="F235" t="s">
        <v>51</v>
      </c>
      <c r="G235" t="s">
        <v>52</v>
      </c>
      <c r="H235" t="s">
        <v>70</v>
      </c>
      <c r="I235" t="s">
        <v>21</v>
      </c>
      <c r="J235" t="s">
        <v>22</v>
      </c>
      <c r="K235" t="s">
        <v>23</v>
      </c>
      <c r="L235" s="19">
        <v>1</v>
      </c>
      <c r="M235" s="20">
        <v>1914000</v>
      </c>
      <c r="N235" s="20">
        <v>1645200</v>
      </c>
      <c r="O235" s="20">
        <f t="shared" si="11"/>
        <v>268800</v>
      </c>
      <c r="P235" t="s">
        <v>37</v>
      </c>
    </row>
    <row r="236" spans="1:16">
      <c r="A236" t="s">
        <v>316</v>
      </c>
      <c r="B236" s="18">
        <v>45875</v>
      </c>
      <c r="C236" s="19">
        <f t="shared" si="9"/>
        <v>2025</v>
      </c>
      <c r="D236" s="19" t="str">
        <f t="shared" si="10"/>
        <v>Aug</v>
      </c>
      <c r="E236" t="s">
        <v>17</v>
      </c>
      <c r="F236" t="s">
        <v>18</v>
      </c>
      <c r="G236" t="s">
        <v>60</v>
      </c>
      <c r="H236" t="s">
        <v>61</v>
      </c>
      <c r="I236" t="s">
        <v>63</v>
      </c>
      <c r="J236" t="s">
        <v>41</v>
      </c>
      <c r="K236" t="s">
        <v>58</v>
      </c>
      <c r="L236" s="19">
        <v>1</v>
      </c>
      <c r="M236" s="20">
        <v>1351000</v>
      </c>
      <c r="N236" s="20">
        <v>1178800</v>
      </c>
      <c r="O236" s="20">
        <f t="shared" si="11"/>
        <v>172200</v>
      </c>
      <c r="P236" t="s">
        <v>31</v>
      </c>
    </row>
    <row r="237" spans="1:16">
      <c r="A237" t="s">
        <v>317</v>
      </c>
      <c r="B237" s="18">
        <v>45878</v>
      </c>
      <c r="C237" s="19">
        <f t="shared" si="9"/>
        <v>2025</v>
      </c>
      <c r="D237" s="19" t="str">
        <f t="shared" si="10"/>
        <v>Aug</v>
      </c>
      <c r="E237" t="s">
        <v>26</v>
      </c>
      <c r="F237" t="s">
        <v>27</v>
      </c>
      <c r="G237" t="s">
        <v>28</v>
      </c>
      <c r="H237" t="s">
        <v>39</v>
      </c>
      <c r="I237" t="s">
        <v>63</v>
      </c>
      <c r="J237" t="s">
        <v>41</v>
      </c>
      <c r="K237" t="s">
        <v>58</v>
      </c>
      <c r="L237" s="19">
        <v>1</v>
      </c>
      <c r="M237" s="20">
        <v>1385000</v>
      </c>
      <c r="N237" s="20">
        <v>1210800</v>
      </c>
      <c r="O237" s="20">
        <f t="shared" si="11"/>
        <v>174200</v>
      </c>
      <c r="P237" t="s">
        <v>24</v>
      </c>
    </row>
    <row r="238" spans="1:16">
      <c r="A238" t="s">
        <v>318</v>
      </c>
      <c r="B238" s="18">
        <v>45879</v>
      </c>
      <c r="C238" s="19">
        <f t="shared" si="9"/>
        <v>2025</v>
      </c>
      <c r="D238" s="19" t="str">
        <f t="shared" si="10"/>
        <v>Aug</v>
      </c>
      <c r="E238" t="s">
        <v>26</v>
      </c>
      <c r="F238" t="s">
        <v>131</v>
      </c>
      <c r="G238" t="s">
        <v>132</v>
      </c>
      <c r="H238" t="s">
        <v>133</v>
      </c>
      <c r="I238" t="s">
        <v>48</v>
      </c>
      <c r="J238" t="s">
        <v>49</v>
      </c>
      <c r="K238" t="s">
        <v>42</v>
      </c>
      <c r="L238" s="19">
        <v>1</v>
      </c>
      <c r="M238" s="20">
        <v>1257000</v>
      </c>
      <c r="N238" s="20">
        <v>1043800</v>
      </c>
      <c r="O238" s="20">
        <f t="shared" si="11"/>
        <v>213200</v>
      </c>
      <c r="P238" t="s">
        <v>54</v>
      </c>
    </row>
    <row r="239" spans="1:16">
      <c r="A239" t="s">
        <v>319</v>
      </c>
      <c r="B239" s="18">
        <v>45880</v>
      </c>
      <c r="C239" s="19">
        <f t="shared" si="9"/>
        <v>2025</v>
      </c>
      <c r="D239" s="19" t="str">
        <f t="shared" si="10"/>
        <v>Aug</v>
      </c>
      <c r="E239" t="s">
        <v>17</v>
      </c>
      <c r="F239" t="s">
        <v>51</v>
      </c>
      <c r="G239" t="s">
        <v>52</v>
      </c>
      <c r="H239" t="s">
        <v>53</v>
      </c>
      <c r="I239" t="s">
        <v>63</v>
      </c>
      <c r="J239" t="s">
        <v>41</v>
      </c>
      <c r="K239" t="s">
        <v>58</v>
      </c>
      <c r="L239" s="19">
        <v>1</v>
      </c>
      <c r="M239" s="20">
        <v>1308000</v>
      </c>
      <c r="N239" s="20">
        <v>1145200</v>
      </c>
      <c r="O239" s="20">
        <f t="shared" si="11"/>
        <v>162800</v>
      </c>
      <c r="P239" t="s">
        <v>72</v>
      </c>
    </row>
    <row r="240" spans="1:16">
      <c r="A240" t="s">
        <v>320</v>
      </c>
      <c r="B240" s="18">
        <v>45880</v>
      </c>
      <c r="C240" s="19">
        <f t="shared" si="9"/>
        <v>2025</v>
      </c>
      <c r="D240" s="19" t="str">
        <f t="shared" si="10"/>
        <v>Aug</v>
      </c>
      <c r="E240" t="s">
        <v>17</v>
      </c>
      <c r="F240" t="s">
        <v>51</v>
      </c>
      <c r="G240" t="s">
        <v>52</v>
      </c>
      <c r="H240" t="s">
        <v>70</v>
      </c>
      <c r="I240" t="s">
        <v>63</v>
      </c>
      <c r="J240" t="s">
        <v>41</v>
      </c>
      <c r="K240" t="s">
        <v>58</v>
      </c>
      <c r="L240" s="19">
        <v>1</v>
      </c>
      <c r="M240" s="20">
        <v>1401000</v>
      </c>
      <c r="N240" s="20">
        <v>1147200</v>
      </c>
      <c r="O240" s="20">
        <f t="shared" si="11"/>
        <v>253800</v>
      </c>
      <c r="P240" t="s">
        <v>31</v>
      </c>
    </row>
    <row r="241" spans="1:16">
      <c r="A241" t="s">
        <v>321</v>
      </c>
      <c r="B241" s="18">
        <v>45880</v>
      </c>
      <c r="C241" s="19">
        <f t="shared" si="9"/>
        <v>2025</v>
      </c>
      <c r="D241" s="19" t="str">
        <f t="shared" si="10"/>
        <v>Aug</v>
      </c>
      <c r="E241" t="s">
        <v>17</v>
      </c>
      <c r="F241" t="s">
        <v>51</v>
      </c>
      <c r="G241" t="s">
        <v>52</v>
      </c>
      <c r="H241" t="s">
        <v>53</v>
      </c>
      <c r="I241" t="s">
        <v>56</v>
      </c>
      <c r="J241" t="s">
        <v>57</v>
      </c>
      <c r="K241" t="s">
        <v>58</v>
      </c>
      <c r="L241" s="19">
        <v>1</v>
      </c>
      <c r="M241" s="20">
        <v>1224000</v>
      </c>
      <c r="N241" s="20">
        <v>997700</v>
      </c>
      <c r="O241" s="20">
        <f t="shared" si="11"/>
        <v>226300</v>
      </c>
      <c r="P241" t="s">
        <v>24</v>
      </c>
    </row>
    <row r="242" spans="1:16">
      <c r="A242" t="s">
        <v>322</v>
      </c>
      <c r="B242" s="18">
        <v>45880</v>
      </c>
      <c r="C242" s="19">
        <f t="shared" si="9"/>
        <v>2025</v>
      </c>
      <c r="D242" s="19" t="str">
        <f t="shared" si="10"/>
        <v>Aug</v>
      </c>
      <c r="E242" t="s">
        <v>17</v>
      </c>
      <c r="F242" t="s">
        <v>51</v>
      </c>
      <c r="G242" t="s">
        <v>52</v>
      </c>
      <c r="H242" t="s">
        <v>53</v>
      </c>
      <c r="I242" t="s">
        <v>40</v>
      </c>
      <c r="J242" t="s">
        <v>41</v>
      </c>
      <c r="K242" t="s">
        <v>42</v>
      </c>
      <c r="L242" s="19">
        <v>1</v>
      </c>
      <c r="M242" s="20">
        <v>1767000</v>
      </c>
      <c r="N242" s="20">
        <v>1419600</v>
      </c>
      <c r="O242" s="20">
        <f t="shared" si="11"/>
        <v>347400</v>
      </c>
      <c r="P242" t="s">
        <v>31</v>
      </c>
    </row>
    <row r="243" spans="1:16">
      <c r="A243" t="s">
        <v>323</v>
      </c>
      <c r="B243" s="18">
        <v>45883</v>
      </c>
      <c r="C243" s="19">
        <f t="shared" si="9"/>
        <v>2025</v>
      </c>
      <c r="D243" s="19" t="str">
        <f t="shared" si="10"/>
        <v>Aug</v>
      </c>
      <c r="E243" t="s">
        <v>26</v>
      </c>
      <c r="F243" t="s">
        <v>131</v>
      </c>
      <c r="G243" t="s">
        <v>132</v>
      </c>
      <c r="H243" t="s">
        <v>133</v>
      </c>
      <c r="I243" t="s">
        <v>63</v>
      </c>
      <c r="J243" t="s">
        <v>41</v>
      </c>
      <c r="K243" t="s">
        <v>58</v>
      </c>
      <c r="L243" s="19">
        <v>1</v>
      </c>
      <c r="M243" s="20">
        <v>1304000</v>
      </c>
      <c r="N243" s="20">
        <v>1107100</v>
      </c>
      <c r="O243" s="20">
        <f t="shared" si="11"/>
        <v>196900</v>
      </c>
      <c r="P243" t="s">
        <v>31</v>
      </c>
    </row>
    <row r="244" spans="1:16">
      <c r="A244" t="s">
        <v>324</v>
      </c>
      <c r="B244" s="18">
        <v>45884</v>
      </c>
      <c r="C244" s="19">
        <f t="shared" si="9"/>
        <v>2025</v>
      </c>
      <c r="D244" s="19" t="str">
        <f t="shared" si="10"/>
        <v>Aug</v>
      </c>
      <c r="E244" t="s">
        <v>17</v>
      </c>
      <c r="F244" t="s">
        <v>18</v>
      </c>
      <c r="G244" t="s">
        <v>19</v>
      </c>
      <c r="H244" t="s">
        <v>74</v>
      </c>
      <c r="I244" t="s">
        <v>48</v>
      </c>
      <c r="J244" t="s">
        <v>49</v>
      </c>
      <c r="K244" t="s">
        <v>42</v>
      </c>
      <c r="L244" s="19">
        <v>1</v>
      </c>
      <c r="M244" s="20">
        <v>1198000</v>
      </c>
      <c r="N244" s="20">
        <v>959400</v>
      </c>
      <c r="O244" s="20">
        <f t="shared" si="11"/>
        <v>238600</v>
      </c>
      <c r="P244" t="s">
        <v>78</v>
      </c>
    </row>
    <row r="245" spans="1:16">
      <c r="A245" t="s">
        <v>325</v>
      </c>
      <c r="B245" s="18">
        <v>45884</v>
      </c>
      <c r="C245" s="19">
        <f t="shared" si="9"/>
        <v>2025</v>
      </c>
      <c r="D245" s="19" t="str">
        <f t="shared" si="10"/>
        <v>Aug</v>
      </c>
      <c r="E245" t="s">
        <v>17</v>
      </c>
      <c r="F245" t="s">
        <v>51</v>
      </c>
      <c r="G245" t="s">
        <v>52</v>
      </c>
      <c r="H245" t="s">
        <v>70</v>
      </c>
      <c r="I245" t="s">
        <v>63</v>
      </c>
      <c r="J245" t="s">
        <v>41</v>
      </c>
      <c r="K245" t="s">
        <v>58</v>
      </c>
      <c r="L245" s="19">
        <v>1</v>
      </c>
      <c r="M245" s="20">
        <v>1338000</v>
      </c>
      <c r="N245" s="20">
        <v>1124900</v>
      </c>
      <c r="O245" s="20">
        <f t="shared" si="11"/>
        <v>213100</v>
      </c>
      <c r="P245" t="s">
        <v>72</v>
      </c>
    </row>
    <row r="246" spans="1:16">
      <c r="A246" t="s">
        <v>326</v>
      </c>
      <c r="B246" s="18">
        <v>45884</v>
      </c>
      <c r="C246" s="19">
        <f t="shared" si="9"/>
        <v>2025</v>
      </c>
      <c r="D246" s="19" t="str">
        <f t="shared" si="10"/>
        <v>Aug</v>
      </c>
      <c r="E246" t="s">
        <v>17</v>
      </c>
      <c r="F246" t="s">
        <v>18</v>
      </c>
      <c r="G246" t="s">
        <v>19</v>
      </c>
      <c r="H246" t="s">
        <v>74</v>
      </c>
      <c r="I246" t="s">
        <v>63</v>
      </c>
      <c r="J246" t="s">
        <v>41</v>
      </c>
      <c r="K246" t="s">
        <v>58</v>
      </c>
      <c r="L246" s="19">
        <v>1</v>
      </c>
      <c r="M246" s="20">
        <v>1299000</v>
      </c>
      <c r="N246" s="20">
        <v>1065300</v>
      </c>
      <c r="O246" s="20">
        <f t="shared" si="11"/>
        <v>233700</v>
      </c>
      <c r="P246" t="s">
        <v>78</v>
      </c>
    </row>
    <row r="247" spans="1:16">
      <c r="A247" t="s">
        <v>327</v>
      </c>
      <c r="B247" s="18">
        <v>45884</v>
      </c>
      <c r="C247" s="19">
        <f t="shared" si="9"/>
        <v>2025</v>
      </c>
      <c r="D247" s="19" t="str">
        <f t="shared" si="10"/>
        <v>Aug</v>
      </c>
      <c r="E247" t="s">
        <v>17</v>
      </c>
      <c r="F247" t="s">
        <v>18</v>
      </c>
      <c r="G247" t="s">
        <v>60</v>
      </c>
      <c r="H247" t="s">
        <v>61</v>
      </c>
      <c r="I247" t="s">
        <v>68</v>
      </c>
      <c r="J247" t="s">
        <v>49</v>
      </c>
      <c r="K247" t="s">
        <v>58</v>
      </c>
      <c r="L247" s="19">
        <v>1</v>
      </c>
      <c r="M247" s="20">
        <v>893000</v>
      </c>
      <c r="N247" s="20">
        <v>733700</v>
      </c>
      <c r="O247" s="20">
        <f t="shared" si="11"/>
        <v>159300</v>
      </c>
      <c r="P247" t="s">
        <v>31</v>
      </c>
    </row>
    <row r="248" spans="1:16">
      <c r="A248" t="s">
        <v>328</v>
      </c>
      <c r="B248" s="18">
        <v>45884</v>
      </c>
      <c r="C248" s="19">
        <f t="shared" si="9"/>
        <v>2025</v>
      </c>
      <c r="D248" s="19" t="str">
        <f t="shared" si="10"/>
        <v>Aug</v>
      </c>
      <c r="E248" t="s">
        <v>26</v>
      </c>
      <c r="F248" t="s">
        <v>27</v>
      </c>
      <c r="G248" t="s">
        <v>28</v>
      </c>
      <c r="H248" t="s">
        <v>39</v>
      </c>
      <c r="I248" t="s">
        <v>48</v>
      </c>
      <c r="J248" t="s">
        <v>49</v>
      </c>
      <c r="K248" t="s">
        <v>42</v>
      </c>
      <c r="L248" s="19">
        <v>1</v>
      </c>
      <c r="M248" s="20">
        <v>1257000</v>
      </c>
      <c r="N248" s="20">
        <v>1078100</v>
      </c>
      <c r="O248" s="20">
        <f t="shared" si="11"/>
        <v>178900</v>
      </c>
      <c r="P248" t="s">
        <v>31</v>
      </c>
    </row>
    <row r="249" spans="1:16">
      <c r="A249" t="s">
        <v>329</v>
      </c>
      <c r="B249" s="18">
        <v>45885</v>
      </c>
      <c r="C249" s="19">
        <f t="shared" si="9"/>
        <v>2025</v>
      </c>
      <c r="D249" s="19" t="str">
        <f t="shared" si="10"/>
        <v>Aug</v>
      </c>
      <c r="E249" t="s">
        <v>26</v>
      </c>
      <c r="F249" t="s">
        <v>27</v>
      </c>
      <c r="G249" t="s">
        <v>28</v>
      </c>
      <c r="H249" t="s">
        <v>29</v>
      </c>
      <c r="I249" t="s">
        <v>68</v>
      </c>
      <c r="J249" t="s">
        <v>49</v>
      </c>
      <c r="K249" t="s">
        <v>58</v>
      </c>
      <c r="L249" s="19">
        <v>1</v>
      </c>
      <c r="M249" s="20">
        <v>951000</v>
      </c>
      <c r="N249" s="20">
        <v>805400</v>
      </c>
      <c r="O249" s="20">
        <f t="shared" si="11"/>
        <v>145600</v>
      </c>
      <c r="P249" t="s">
        <v>24</v>
      </c>
    </row>
    <row r="250" spans="1:16">
      <c r="A250" t="s">
        <v>330</v>
      </c>
      <c r="B250" s="18">
        <v>45886</v>
      </c>
      <c r="C250" s="19">
        <f t="shared" si="9"/>
        <v>2025</v>
      </c>
      <c r="D250" s="19" t="str">
        <f t="shared" si="10"/>
        <v>Aug</v>
      </c>
      <c r="E250" t="s">
        <v>44</v>
      </c>
      <c r="F250" t="s">
        <v>118</v>
      </c>
      <c r="G250" t="s">
        <v>119</v>
      </c>
      <c r="H250" t="s">
        <v>120</v>
      </c>
      <c r="I250" t="s">
        <v>68</v>
      </c>
      <c r="J250" t="s">
        <v>49</v>
      </c>
      <c r="K250" t="s">
        <v>58</v>
      </c>
      <c r="L250" s="19">
        <v>1</v>
      </c>
      <c r="M250" s="20">
        <v>896000</v>
      </c>
      <c r="N250" s="20">
        <v>757800</v>
      </c>
      <c r="O250" s="20">
        <f t="shared" si="11"/>
        <v>138200</v>
      </c>
      <c r="P250" t="s">
        <v>31</v>
      </c>
    </row>
    <row r="251" spans="1:16">
      <c r="A251" t="s">
        <v>331</v>
      </c>
      <c r="B251" s="18">
        <v>45887</v>
      </c>
      <c r="C251" s="19">
        <f t="shared" si="9"/>
        <v>2025</v>
      </c>
      <c r="D251" s="19" t="str">
        <f t="shared" si="10"/>
        <v>Aug</v>
      </c>
      <c r="E251" t="s">
        <v>17</v>
      </c>
      <c r="F251" t="s">
        <v>51</v>
      </c>
      <c r="G251" t="s">
        <v>52</v>
      </c>
      <c r="H251" t="s">
        <v>70</v>
      </c>
      <c r="I251" t="s">
        <v>71</v>
      </c>
      <c r="J251" t="s">
        <v>49</v>
      </c>
      <c r="K251" t="s">
        <v>58</v>
      </c>
      <c r="L251" s="19">
        <v>1</v>
      </c>
      <c r="M251" s="20">
        <v>1017000</v>
      </c>
      <c r="N251" s="20">
        <v>860700</v>
      </c>
      <c r="O251" s="20">
        <f t="shared" si="11"/>
        <v>156300</v>
      </c>
      <c r="P251" t="s">
        <v>31</v>
      </c>
    </row>
    <row r="252" spans="1:16">
      <c r="A252" t="s">
        <v>332</v>
      </c>
      <c r="B252" s="18">
        <v>45887</v>
      </c>
      <c r="C252" s="19">
        <f t="shared" si="9"/>
        <v>2025</v>
      </c>
      <c r="D252" s="19" t="str">
        <f t="shared" si="10"/>
        <v>Aug</v>
      </c>
      <c r="E252" t="s">
        <v>17</v>
      </c>
      <c r="F252" t="s">
        <v>51</v>
      </c>
      <c r="G252" t="s">
        <v>52</v>
      </c>
      <c r="H252" t="s">
        <v>70</v>
      </c>
      <c r="I252" t="s">
        <v>21</v>
      </c>
      <c r="J252" t="s">
        <v>22</v>
      </c>
      <c r="K252" t="s">
        <v>23</v>
      </c>
      <c r="L252" s="19">
        <v>1</v>
      </c>
      <c r="M252" s="20">
        <v>1893000</v>
      </c>
      <c r="N252" s="20">
        <v>1613500</v>
      </c>
      <c r="O252" s="20">
        <f t="shared" si="11"/>
        <v>279500</v>
      </c>
      <c r="P252" t="s">
        <v>54</v>
      </c>
    </row>
    <row r="253" spans="1:16">
      <c r="A253" t="s">
        <v>333</v>
      </c>
      <c r="B253" s="18">
        <v>45887</v>
      </c>
      <c r="C253" s="19">
        <f t="shared" si="9"/>
        <v>2025</v>
      </c>
      <c r="D253" s="19" t="str">
        <f t="shared" si="10"/>
        <v>Aug</v>
      </c>
      <c r="E253" t="s">
        <v>17</v>
      </c>
      <c r="F253" t="s">
        <v>18</v>
      </c>
      <c r="G253" t="s">
        <v>60</v>
      </c>
      <c r="H253" t="s">
        <v>61</v>
      </c>
      <c r="I253" t="s">
        <v>63</v>
      </c>
      <c r="J253" t="s">
        <v>41</v>
      </c>
      <c r="K253" t="s">
        <v>58</v>
      </c>
      <c r="L253" s="19">
        <v>1</v>
      </c>
      <c r="M253" s="20">
        <v>1369000</v>
      </c>
      <c r="N253" s="20">
        <v>1135300</v>
      </c>
      <c r="O253" s="20">
        <f t="shared" si="11"/>
        <v>233700</v>
      </c>
      <c r="P253" t="s">
        <v>24</v>
      </c>
    </row>
    <row r="254" spans="1:16">
      <c r="A254" t="s">
        <v>334</v>
      </c>
      <c r="B254" s="18">
        <v>45888</v>
      </c>
      <c r="C254" s="19">
        <f t="shared" si="9"/>
        <v>2025</v>
      </c>
      <c r="D254" s="19" t="str">
        <f t="shared" si="10"/>
        <v>Aug</v>
      </c>
      <c r="E254" t="s">
        <v>17</v>
      </c>
      <c r="F254" t="s">
        <v>18</v>
      </c>
      <c r="G254" t="s">
        <v>60</v>
      </c>
      <c r="H254" t="s">
        <v>61</v>
      </c>
      <c r="I254" t="s">
        <v>56</v>
      </c>
      <c r="J254" t="s">
        <v>57</v>
      </c>
      <c r="K254" t="s">
        <v>58</v>
      </c>
      <c r="L254" s="19">
        <v>1</v>
      </c>
      <c r="M254" s="20">
        <v>1192000</v>
      </c>
      <c r="N254" s="20">
        <v>1028500</v>
      </c>
      <c r="O254" s="20">
        <f t="shared" si="11"/>
        <v>163500</v>
      </c>
      <c r="P254" t="s">
        <v>24</v>
      </c>
    </row>
    <row r="255" spans="1:16">
      <c r="A255" t="s">
        <v>335</v>
      </c>
      <c r="B255" s="18">
        <v>45890</v>
      </c>
      <c r="C255" s="19">
        <f t="shared" si="9"/>
        <v>2025</v>
      </c>
      <c r="D255" s="19" t="str">
        <f t="shared" si="10"/>
        <v>Aug</v>
      </c>
      <c r="E255" t="s">
        <v>26</v>
      </c>
      <c r="F255" t="s">
        <v>131</v>
      </c>
      <c r="G255" t="s">
        <v>132</v>
      </c>
      <c r="H255" t="s">
        <v>133</v>
      </c>
      <c r="I255" t="s">
        <v>71</v>
      </c>
      <c r="J255" t="s">
        <v>49</v>
      </c>
      <c r="K255" t="s">
        <v>58</v>
      </c>
      <c r="L255" s="19">
        <v>2</v>
      </c>
      <c r="M255" s="20">
        <v>1982000</v>
      </c>
      <c r="N255" s="20">
        <v>1635200</v>
      </c>
      <c r="O255" s="20">
        <f t="shared" si="11"/>
        <v>346800</v>
      </c>
      <c r="P255" t="s">
        <v>31</v>
      </c>
    </row>
    <row r="256" spans="1:16">
      <c r="A256" t="s">
        <v>336</v>
      </c>
      <c r="B256" s="18">
        <v>45891</v>
      </c>
      <c r="C256" s="19">
        <f t="shared" si="9"/>
        <v>2025</v>
      </c>
      <c r="D256" s="19" t="str">
        <f t="shared" si="10"/>
        <v>Aug</v>
      </c>
      <c r="E256" t="s">
        <v>33</v>
      </c>
      <c r="F256" t="s">
        <v>34</v>
      </c>
      <c r="G256" t="s">
        <v>34</v>
      </c>
      <c r="H256" t="s">
        <v>35</v>
      </c>
      <c r="I256" t="s">
        <v>68</v>
      </c>
      <c r="J256" t="s">
        <v>49</v>
      </c>
      <c r="K256" t="s">
        <v>58</v>
      </c>
      <c r="L256" s="19">
        <v>1</v>
      </c>
      <c r="M256" s="20">
        <v>955000</v>
      </c>
      <c r="N256" s="20">
        <v>795800</v>
      </c>
      <c r="O256" s="20">
        <f t="shared" si="11"/>
        <v>159200</v>
      </c>
      <c r="P256" t="s">
        <v>37</v>
      </c>
    </row>
    <row r="257" spans="1:16">
      <c r="A257" t="s">
        <v>337</v>
      </c>
      <c r="B257" s="18">
        <v>45893</v>
      </c>
      <c r="C257" s="19">
        <f t="shared" si="9"/>
        <v>2025</v>
      </c>
      <c r="D257" s="19" t="str">
        <f t="shared" si="10"/>
        <v>Aug</v>
      </c>
      <c r="E257" t="s">
        <v>17</v>
      </c>
      <c r="F257" t="s">
        <v>51</v>
      </c>
      <c r="G257" t="s">
        <v>52</v>
      </c>
      <c r="H257" t="s">
        <v>53</v>
      </c>
      <c r="I257" t="s">
        <v>63</v>
      </c>
      <c r="J257" t="s">
        <v>41</v>
      </c>
      <c r="K257" t="s">
        <v>58</v>
      </c>
      <c r="L257" s="19">
        <v>1</v>
      </c>
      <c r="M257" s="20">
        <v>1403000</v>
      </c>
      <c r="N257" s="20">
        <v>1129000</v>
      </c>
      <c r="O257" s="20">
        <f t="shared" si="11"/>
        <v>274000</v>
      </c>
      <c r="P257" t="s">
        <v>24</v>
      </c>
    </row>
    <row r="258" spans="1:16">
      <c r="A258" t="s">
        <v>338</v>
      </c>
      <c r="B258" s="18">
        <v>45893</v>
      </c>
      <c r="C258" s="19">
        <f t="shared" ref="C258:C321" si="12">YEAR(B258)</f>
        <v>2025</v>
      </c>
      <c r="D258" s="19" t="str">
        <f t="shared" ref="D258:D321" si="13">CHOOSE(MONTH(B258),"Jan","Feb","Mar","Apr","May","Jun","Jul","Aug","Sep","Oct","Nov","Dec")</f>
        <v>Aug</v>
      </c>
      <c r="E258" t="s">
        <v>17</v>
      </c>
      <c r="F258" t="s">
        <v>18</v>
      </c>
      <c r="G258" t="s">
        <v>19</v>
      </c>
      <c r="H258" t="s">
        <v>74</v>
      </c>
      <c r="I258" t="s">
        <v>68</v>
      </c>
      <c r="J258" t="s">
        <v>49</v>
      </c>
      <c r="K258" t="s">
        <v>58</v>
      </c>
      <c r="L258" s="19">
        <v>1</v>
      </c>
      <c r="M258" s="20">
        <v>941000</v>
      </c>
      <c r="N258" s="20">
        <v>820500</v>
      </c>
      <c r="O258" s="20">
        <f t="shared" ref="O258:O321" si="14">M258-N258</f>
        <v>120500</v>
      </c>
      <c r="P258" t="s">
        <v>37</v>
      </c>
    </row>
    <row r="259" spans="1:16">
      <c r="A259" t="s">
        <v>339</v>
      </c>
      <c r="B259" s="18">
        <v>45894</v>
      </c>
      <c r="C259" s="19">
        <f t="shared" si="12"/>
        <v>2025</v>
      </c>
      <c r="D259" s="19" t="str">
        <f t="shared" si="13"/>
        <v>Aug</v>
      </c>
      <c r="E259" t="s">
        <v>17</v>
      </c>
      <c r="F259" t="s">
        <v>51</v>
      </c>
      <c r="G259" t="s">
        <v>98</v>
      </c>
      <c r="H259" t="s">
        <v>99</v>
      </c>
      <c r="I259" t="s">
        <v>48</v>
      </c>
      <c r="J259" t="s">
        <v>49</v>
      </c>
      <c r="K259" t="s">
        <v>42</v>
      </c>
      <c r="L259" s="19">
        <v>1</v>
      </c>
      <c r="M259" s="20">
        <v>1205000</v>
      </c>
      <c r="N259" s="20">
        <v>1034200</v>
      </c>
      <c r="O259" s="20">
        <f t="shared" si="14"/>
        <v>170800</v>
      </c>
      <c r="P259" t="s">
        <v>31</v>
      </c>
    </row>
    <row r="260" spans="1:16">
      <c r="A260" t="s">
        <v>340</v>
      </c>
      <c r="B260" s="18">
        <v>45894</v>
      </c>
      <c r="C260" s="19">
        <f t="shared" si="12"/>
        <v>2025</v>
      </c>
      <c r="D260" s="19" t="str">
        <f t="shared" si="13"/>
        <v>Aug</v>
      </c>
      <c r="E260" t="s">
        <v>17</v>
      </c>
      <c r="F260" t="s">
        <v>18</v>
      </c>
      <c r="G260" t="s">
        <v>19</v>
      </c>
      <c r="H260" t="s">
        <v>20</v>
      </c>
      <c r="I260" t="s">
        <v>121</v>
      </c>
      <c r="J260" t="s">
        <v>57</v>
      </c>
      <c r="K260" t="s">
        <v>42</v>
      </c>
      <c r="L260" s="19">
        <v>1</v>
      </c>
      <c r="M260" s="20">
        <v>1597000</v>
      </c>
      <c r="N260" s="20">
        <v>1357800</v>
      </c>
      <c r="O260" s="20">
        <f t="shared" si="14"/>
        <v>239200</v>
      </c>
      <c r="P260" t="s">
        <v>31</v>
      </c>
    </row>
    <row r="261" spans="1:16">
      <c r="A261" t="s">
        <v>341</v>
      </c>
      <c r="B261" s="18">
        <v>45896</v>
      </c>
      <c r="C261" s="19">
        <f t="shared" si="12"/>
        <v>2025</v>
      </c>
      <c r="D261" s="19" t="str">
        <f t="shared" si="13"/>
        <v>Aug</v>
      </c>
      <c r="E261" t="s">
        <v>26</v>
      </c>
      <c r="F261" t="s">
        <v>65</v>
      </c>
      <c r="G261" t="s">
        <v>66</v>
      </c>
      <c r="H261" t="s">
        <v>67</v>
      </c>
      <c r="I261" t="s">
        <v>56</v>
      </c>
      <c r="J261" t="s">
        <v>57</v>
      </c>
      <c r="K261" t="s">
        <v>58</v>
      </c>
      <c r="L261" s="19">
        <v>1</v>
      </c>
      <c r="M261" s="20">
        <v>1214000</v>
      </c>
      <c r="N261" s="20">
        <v>1053100</v>
      </c>
      <c r="O261" s="20">
        <f t="shared" si="14"/>
        <v>160900</v>
      </c>
      <c r="P261" t="s">
        <v>37</v>
      </c>
    </row>
    <row r="262" spans="1:16">
      <c r="A262" t="s">
        <v>342</v>
      </c>
      <c r="B262" s="18">
        <v>45897</v>
      </c>
      <c r="C262" s="19">
        <f t="shared" si="12"/>
        <v>2025</v>
      </c>
      <c r="D262" s="19" t="str">
        <f t="shared" si="13"/>
        <v>Aug</v>
      </c>
      <c r="E262" t="s">
        <v>26</v>
      </c>
      <c r="F262" t="s">
        <v>27</v>
      </c>
      <c r="G262" t="s">
        <v>28</v>
      </c>
      <c r="H262" t="s">
        <v>29</v>
      </c>
      <c r="I262" t="s">
        <v>121</v>
      </c>
      <c r="J262" t="s">
        <v>57</v>
      </c>
      <c r="K262" t="s">
        <v>42</v>
      </c>
      <c r="L262" s="19">
        <v>1</v>
      </c>
      <c r="M262" s="20">
        <v>1633000</v>
      </c>
      <c r="N262" s="20">
        <v>1333200</v>
      </c>
      <c r="O262" s="20">
        <f t="shared" si="14"/>
        <v>299800</v>
      </c>
      <c r="P262" t="s">
        <v>31</v>
      </c>
    </row>
    <row r="263" spans="1:16">
      <c r="A263" t="s">
        <v>343</v>
      </c>
      <c r="B263" s="18">
        <v>45897</v>
      </c>
      <c r="C263" s="19">
        <f t="shared" si="12"/>
        <v>2025</v>
      </c>
      <c r="D263" s="19" t="str">
        <f t="shared" si="13"/>
        <v>Aug</v>
      </c>
      <c r="E263" t="s">
        <v>17</v>
      </c>
      <c r="F263" t="s">
        <v>51</v>
      </c>
      <c r="G263" t="s">
        <v>52</v>
      </c>
      <c r="H263" t="s">
        <v>53</v>
      </c>
      <c r="I263" t="s">
        <v>56</v>
      </c>
      <c r="J263" t="s">
        <v>57</v>
      </c>
      <c r="K263" t="s">
        <v>58</v>
      </c>
      <c r="L263" s="19">
        <v>1</v>
      </c>
      <c r="M263" s="20">
        <v>1186000</v>
      </c>
      <c r="N263" s="20">
        <v>957000</v>
      </c>
      <c r="O263" s="20">
        <f t="shared" si="14"/>
        <v>229000</v>
      </c>
      <c r="P263" t="s">
        <v>24</v>
      </c>
    </row>
    <row r="264" spans="1:16">
      <c r="A264" t="s">
        <v>344</v>
      </c>
      <c r="B264" s="18">
        <v>45898</v>
      </c>
      <c r="C264" s="19">
        <f t="shared" si="12"/>
        <v>2025</v>
      </c>
      <c r="D264" s="19" t="str">
        <f t="shared" si="13"/>
        <v>Aug</v>
      </c>
      <c r="E264" t="s">
        <v>17</v>
      </c>
      <c r="F264" t="s">
        <v>51</v>
      </c>
      <c r="G264" t="s">
        <v>52</v>
      </c>
      <c r="H264" t="s">
        <v>53</v>
      </c>
      <c r="I264" t="s">
        <v>121</v>
      </c>
      <c r="J264" t="s">
        <v>57</v>
      </c>
      <c r="K264" t="s">
        <v>42</v>
      </c>
      <c r="L264" s="19">
        <v>1</v>
      </c>
      <c r="M264" s="20">
        <v>1636000</v>
      </c>
      <c r="N264" s="20">
        <v>1388100</v>
      </c>
      <c r="O264" s="20">
        <f t="shared" si="14"/>
        <v>247900</v>
      </c>
      <c r="P264" t="s">
        <v>72</v>
      </c>
    </row>
    <row r="265" spans="1:16">
      <c r="A265" t="s">
        <v>345</v>
      </c>
      <c r="B265" s="18">
        <v>45899</v>
      </c>
      <c r="C265" s="19">
        <f t="shared" si="12"/>
        <v>2025</v>
      </c>
      <c r="D265" s="19" t="str">
        <f t="shared" si="13"/>
        <v>Aug</v>
      </c>
      <c r="E265" t="s">
        <v>17</v>
      </c>
      <c r="F265" t="s">
        <v>18</v>
      </c>
      <c r="G265" t="s">
        <v>19</v>
      </c>
      <c r="H265" t="s">
        <v>20</v>
      </c>
      <c r="I265" t="s">
        <v>21</v>
      </c>
      <c r="J265" t="s">
        <v>22</v>
      </c>
      <c r="K265" t="s">
        <v>23</v>
      </c>
      <c r="L265" s="19">
        <v>1</v>
      </c>
      <c r="M265" s="20">
        <v>1822000</v>
      </c>
      <c r="N265" s="20">
        <v>1572200</v>
      </c>
      <c r="O265" s="20">
        <f t="shared" si="14"/>
        <v>249800</v>
      </c>
      <c r="P265" t="s">
        <v>37</v>
      </c>
    </row>
    <row r="266" spans="1:16">
      <c r="A266" t="s">
        <v>346</v>
      </c>
      <c r="B266" s="18">
        <v>45900</v>
      </c>
      <c r="C266" s="19">
        <f t="shared" si="12"/>
        <v>2025</v>
      </c>
      <c r="D266" s="19" t="str">
        <f t="shared" si="13"/>
        <v>Aug</v>
      </c>
      <c r="E266" t="s">
        <v>17</v>
      </c>
      <c r="F266" t="s">
        <v>18</v>
      </c>
      <c r="G266" t="s">
        <v>19</v>
      </c>
      <c r="H266" t="s">
        <v>20</v>
      </c>
      <c r="I266" t="s">
        <v>68</v>
      </c>
      <c r="J266" t="s">
        <v>49</v>
      </c>
      <c r="K266" t="s">
        <v>58</v>
      </c>
      <c r="L266" s="19">
        <v>1</v>
      </c>
      <c r="M266" s="20">
        <v>937000</v>
      </c>
      <c r="N266" s="20">
        <v>798300</v>
      </c>
      <c r="O266" s="20">
        <f t="shared" si="14"/>
        <v>138700</v>
      </c>
      <c r="P266" t="s">
        <v>54</v>
      </c>
    </row>
    <row r="267" spans="1:16">
      <c r="A267" t="s">
        <v>347</v>
      </c>
      <c r="B267" s="18">
        <v>45903</v>
      </c>
      <c r="C267" s="19">
        <f t="shared" si="12"/>
        <v>2025</v>
      </c>
      <c r="D267" s="19" t="str">
        <f t="shared" si="13"/>
        <v>Sep</v>
      </c>
      <c r="E267" t="s">
        <v>33</v>
      </c>
      <c r="F267" t="s">
        <v>34</v>
      </c>
      <c r="G267" t="s">
        <v>34</v>
      </c>
      <c r="H267" t="s">
        <v>35</v>
      </c>
      <c r="I267" t="s">
        <v>121</v>
      </c>
      <c r="J267" t="s">
        <v>57</v>
      </c>
      <c r="K267" t="s">
        <v>42</v>
      </c>
      <c r="L267" s="19">
        <v>1</v>
      </c>
      <c r="M267" s="20">
        <v>1570000</v>
      </c>
      <c r="N267" s="20">
        <v>1270700</v>
      </c>
      <c r="O267" s="20">
        <f t="shared" si="14"/>
        <v>299300</v>
      </c>
      <c r="P267" t="s">
        <v>24</v>
      </c>
    </row>
    <row r="268" spans="1:16">
      <c r="A268" t="s">
        <v>348</v>
      </c>
      <c r="B268" s="18">
        <v>45904</v>
      </c>
      <c r="C268" s="19">
        <f t="shared" si="12"/>
        <v>2025</v>
      </c>
      <c r="D268" s="19" t="str">
        <f t="shared" si="13"/>
        <v>Sep</v>
      </c>
      <c r="E268" t="s">
        <v>33</v>
      </c>
      <c r="F268" t="s">
        <v>34</v>
      </c>
      <c r="G268" t="s">
        <v>34</v>
      </c>
      <c r="H268" t="s">
        <v>35</v>
      </c>
      <c r="I268" t="s">
        <v>56</v>
      </c>
      <c r="J268" t="s">
        <v>57</v>
      </c>
      <c r="K268" t="s">
        <v>58</v>
      </c>
      <c r="L268" s="19">
        <v>1</v>
      </c>
      <c r="M268" s="20">
        <v>1248000</v>
      </c>
      <c r="N268" s="20">
        <v>1068500</v>
      </c>
      <c r="O268" s="20">
        <f t="shared" si="14"/>
        <v>179500</v>
      </c>
      <c r="P268" t="s">
        <v>24</v>
      </c>
    </row>
    <row r="269" spans="1:16">
      <c r="A269" t="s">
        <v>349</v>
      </c>
      <c r="B269" s="18">
        <v>45905</v>
      </c>
      <c r="C269" s="19">
        <f t="shared" si="12"/>
        <v>2025</v>
      </c>
      <c r="D269" s="19" t="str">
        <f t="shared" si="13"/>
        <v>Sep</v>
      </c>
      <c r="E269" t="s">
        <v>17</v>
      </c>
      <c r="F269" t="s">
        <v>18</v>
      </c>
      <c r="G269" t="s">
        <v>19</v>
      </c>
      <c r="H269" t="s">
        <v>74</v>
      </c>
      <c r="I269" t="s">
        <v>56</v>
      </c>
      <c r="J269" t="s">
        <v>57</v>
      </c>
      <c r="K269" t="s">
        <v>58</v>
      </c>
      <c r="L269" s="19">
        <v>1</v>
      </c>
      <c r="M269" s="20">
        <v>1244000</v>
      </c>
      <c r="N269" s="20">
        <v>1076000</v>
      </c>
      <c r="O269" s="20">
        <f t="shared" si="14"/>
        <v>168000</v>
      </c>
      <c r="P269" t="s">
        <v>54</v>
      </c>
    </row>
    <row r="270" spans="1:16">
      <c r="A270" t="s">
        <v>350</v>
      </c>
      <c r="B270" s="18">
        <v>45906</v>
      </c>
      <c r="C270" s="19">
        <f t="shared" si="12"/>
        <v>2025</v>
      </c>
      <c r="D270" s="19" t="str">
        <f t="shared" si="13"/>
        <v>Sep</v>
      </c>
      <c r="E270" t="s">
        <v>26</v>
      </c>
      <c r="F270" t="s">
        <v>131</v>
      </c>
      <c r="G270" t="s">
        <v>132</v>
      </c>
      <c r="H270" t="s">
        <v>133</v>
      </c>
      <c r="I270" t="s">
        <v>71</v>
      </c>
      <c r="J270" t="s">
        <v>49</v>
      </c>
      <c r="K270" t="s">
        <v>58</v>
      </c>
      <c r="L270" s="19">
        <v>1</v>
      </c>
      <c r="M270" s="20">
        <v>1029000</v>
      </c>
      <c r="N270" s="20">
        <v>846800</v>
      </c>
      <c r="O270" s="20">
        <f t="shared" si="14"/>
        <v>182200</v>
      </c>
      <c r="P270" t="s">
        <v>31</v>
      </c>
    </row>
    <row r="271" spans="1:16">
      <c r="A271" t="s">
        <v>351</v>
      </c>
      <c r="B271" s="18">
        <v>45906</v>
      </c>
      <c r="C271" s="19">
        <f t="shared" si="12"/>
        <v>2025</v>
      </c>
      <c r="D271" s="19" t="str">
        <f t="shared" si="13"/>
        <v>Sep</v>
      </c>
      <c r="E271" t="s">
        <v>17</v>
      </c>
      <c r="F271" t="s">
        <v>51</v>
      </c>
      <c r="G271" t="s">
        <v>98</v>
      </c>
      <c r="H271" t="s">
        <v>99</v>
      </c>
      <c r="I271" t="s">
        <v>48</v>
      </c>
      <c r="J271" t="s">
        <v>49</v>
      </c>
      <c r="K271" t="s">
        <v>42</v>
      </c>
      <c r="L271" s="19">
        <v>1</v>
      </c>
      <c r="M271" s="20">
        <v>1238000</v>
      </c>
      <c r="N271" s="20">
        <v>1011500</v>
      </c>
      <c r="O271" s="20">
        <f t="shared" si="14"/>
        <v>226500</v>
      </c>
      <c r="P271" t="s">
        <v>31</v>
      </c>
    </row>
    <row r="272" spans="1:16">
      <c r="A272" t="s">
        <v>352</v>
      </c>
      <c r="B272" s="18">
        <v>45908</v>
      </c>
      <c r="C272" s="19">
        <f t="shared" si="12"/>
        <v>2025</v>
      </c>
      <c r="D272" s="19" t="str">
        <f t="shared" si="13"/>
        <v>Sep</v>
      </c>
      <c r="E272" t="s">
        <v>33</v>
      </c>
      <c r="F272" t="s">
        <v>92</v>
      </c>
      <c r="G272" t="s">
        <v>93</v>
      </c>
      <c r="H272" t="s">
        <v>94</v>
      </c>
      <c r="I272" t="s">
        <v>63</v>
      </c>
      <c r="J272" t="s">
        <v>41</v>
      </c>
      <c r="K272" t="s">
        <v>58</v>
      </c>
      <c r="L272" s="19">
        <v>1</v>
      </c>
      <c r="M272" s="20">
        <v>1363000</v>
      </c>
      <c r="N272" s="20">
        <v>1103100</v>
      </c>
      <c r="O272" s="20">
        <f t="shared" si="14"/>
        <v>259900</v>
      </c>
      <c r="P272" t="s">
        <v>24</v>
      </c>
    </row>
    <row r="273" spans="1:16">
      <c r="A273" t="s">
        <v>353</v>
      </c>
      <c r="B273" s="18">
        <v>45908</v>
      </c>
      <c r="C273" s="19">
        <f t="shared" si="12"/>
        <v>2025</v>
      </c>
      <c r="D273" s="19" t="str">
        <f t="shared" si="13"/>
        <v>Sep</v>
      </c>
      <c r="E273" t="s">
        <v>17</v>
      </c>
      <c r="F273" t="s">
        <v>51</v>
      </c>
      <c r="G273" t="s">
        <v>52</v>
      </c>
      <c r="H273" t="s">
        <v>70</v>
      </c>
      <c r="I273" t="s">
        <v>121</v>
      </c>
      <c r="J273" t="s">
        <v>57</v>
      </c>
      <c r="K273" t="s">
        <v>42</v>
      </c>
      <c r="L273" s="19">
        <v>1</v>
      </c>
      <c r="M273" s="20">
        <v>1544000</v>
      </c>
      <c r="N273" s="20">
        <v>1342600</v>
      </c>
      <c r="O273" s="20">
        <f t="shared" si="14"/>
        <v>201400</v>
      </c>
      <c r="P273" t="s">
        <v>54</v>
      </c>
    </row>
    <row r="274" spans="1:16">
      <c r="A274" t="s">
        <v>354</v>
      </c>
      <c r="B274" s="18">
        <v>45908</v>
      </c>
      <c r="C274" s="19">
        <f t="shared" si="12"/>
        <v>2025</v>
      </c>
      <c r="D274" s="19" t="str">
        <f t="shared" si="13"/>
        <v>Sep</v>
      </c>
      <c r="E274" t="s">
        <v>26</v>
      </c>
      <c r="F274" t="s">
        <v>27</v>
      </c>
      <c r="G274" t="s">
        <v>28</v>
      </c>
      <c r="H274" t="s">
        <v>39</v>
      </c>
      <c r="I274" t="s">
        <v>56</v>
      </c>
      <c r="J274" t="s">
        <v>57</v>
      </c>
      <c r="K274" t="s">
        <v>58</v>
      </c>
      <c r="L274" s="19">
        <v>1</v>
      </c>
      <c r="M274" s="20">
        <v>1208000</v>
      </c>
      <c r="N274" s="20">
        <v>1050800</v>
      </c>
      <c r="O274" s="20">
        <f t="shared" si="14"/>
        <v>157200</v>
      </c>
      <c r="P274" t="s">
        <v>31</v>
      </c>
    </row>
    <row r="275" spans="1:16">
      <c r="A275" t="s">
        <v>355</v>
      </c>
      <c r="B275" s="18">
        <v>45909</v>
      </c>
      <c r="C275" s="19">
        <f t="shared" si="12"/>
        <v>2025</v>
      </c>
      <c r="D275" s="19" t="str">
        <f t="shared" si="13"/>
        <v>Sep</v>
      </c>
      <c r="E275" t="s">
        <v>26</v>
      </c>
      <c r="F275" t="s">
        <v>131</v>
      </c>
      <c r="G275" t="s">
        <v>132</v>
      </c>
      <c r="H275" t="s">
        <v>133</v>
      </c>
      <c r="I275" t="s">
        <v>21</v>
      </c>
      <c r="J275" t="s">
        <v>22</v>
      </c>
      <c r="K275" t="s">
        <v>23</v>
      </c>
      <c r="L275" s="19">
        <v>1</v>
      </c>
      <c r="M275" s="20">
        <v>1912000</v>
      </c>
      <c r="N275" s="20">
        <v>1668200</v>
      </c>
      <c r="O275" s="20">
        <f t="shared" si="14"/>
        <v>243800</v>
      </c>
      <c r="P275" t="s">
        <v>78</v>
      </c>
    </row>
    <row r="276" spans="1:16">
      <c r="A276" t="s">
        <v>356</v>
      </c>
      <c r="B276" s="18">
        <v>45909</v>
      </c>
      <c r="C276" s="19">
        <f t="shared" si="12"/>
        <v>2025</v>
      </c>
      <c r="D276" s="19" t="str">
        <f t="shared" si="13"/>
        <v>Sep</v>
      </c>
      <c r="E276" t="s">
        <v>17</v>
      </c>
      <c r="F276" t="s">
        <v>51</v>
      </c>
      <c r="G276" t="s">
        <v>52</v>
      </c>
      <c r="H276" t="s">
        <v>70</v>
      </c>
      <c r="I276" t="s">
        <v>21</v>
      </c>
      <c r="J276" t="s">
        <v>22</v>
      </c>
      <c r="K276" t="s">
        <v>23</v>
      </c>
      <c r="L276" s="19">
        <v>1</v>
      </c>
      <c r="M276" s="20">
        <v>1818000</v>
      </c>
      <c r="N276" s="20">
        <v>1552100</v>
      </c>
      <c r="O276" s="20">
        <f t="shared" si="14"/>
        <v>265900</v>
      </c>
      <c r="P276" t="s">
        <v>24</v>
      </c>
    </row>
    <row r="277" spans="1:16">
      <c r="A277" t="s">
        <v>357</v>
      </c>
      <c r="B277" s="18">
        <v>45909</v>
      </c>
      <c r="C277" s="19">
        <f t="shared" si="12"/>
        <v>2025</v>
      </c>
      <c r="D277" s="19" t="str">
        <f t="shared" si="13"/>
        <v>Sep</v>
      </c>
      <c r="E277" t="s">
        <v>26</v>
      </c>
      <c r="F277" t="s">
        <v>27</v>
      </c>
      <c r="G277" t="s">
        <v>28</v>
      </c>
      <c r="H277" t="s">
        <v>29</v>
      </c>
      <c r="I277" t="s">
        <v>56</v>
      </c>
      <c r="J277" t="s">
        <v>57</v>
      </c>
      <c r="K277" t="s">
        <v>58</v>
      </c>
      <c r="L277" s="19">
        <v>1</v>
      </c>
      <c r="M277" s="20">
        <v>1236000</v>
      </c>
      <c r="N277" s="20">
        <v>1075900</v>
      </c>
      <c r="O277" s="20">
        <f t="shared" si="14"/>
        <v>160100</v>
      </c>
      <c r="P277" t="s">
        <v>78</v>
      </c>
    </row>
    <row r="278" spans="1:16">
      <c r="A278" t="s">
        <v>358</v>
      </c>
      <c r="B278" s="18">
        <v>45910</v>
      </c>
      <c r="C278" s="19">
        <f t="shared" si="12"/>
        <v>2025</v>
      </c>
      <c r="D278" s="19" t="str">
        <f t="shared" si="13"/>
        <v>Sep</v>
      </c>
      <c r="E278" t="s">
        <v>33</v>
      </c>
      <c r="F278" t="s">
        <v>34</v>
      </c>
      <c r="G278" t="s">
        <v>34</v>
      </c>
      <c r="H278" t="s">
        <v>102</v>
      </c>
      <c r="I278" t="s">
        <v>30</v>
      </c>
      <c r="J278" t="s">
        <v>22</v>
      </c>
      <c r="K278" t="s">
        <v>23</v>
      </c>
      <c r="L278" s="19">
        <v>1</v>
      </c>
      <c r="M278" s="20">
        <v>1860000</v>
      </c>
      <c r="N278" s="20">
        <v>1617200</v>
      </c>
      <c r="O278" s="20">
        <f t="shared" si="14"/>
        <v>242800</v>
      </c>
      <c r="P278" t="s">
        <v>31</v>
      </c>
    </row>
    <row r="279" spans="1:16">
      <c r="A279" t="s">
        <v>359</v>
      </c>
      <c r="B279" s="18">
        <v>45911</v>
      </c>
      <c r="C279" s="19">
        <f t="shared" si="12"/>
        <v>2025</v>
      </c>
      <c r="D279" s="19" t="str">
        <f t="shared" si="13"/>
        <v>Sep</v>
      </c>
      <c r="E279" t="s">
        <v>26</v>
      </c>
      <c r="F279" t="s">
        <v>27</v>
      </c>
      <c r="G279" t="s">
        <v>28</v>
      </c>
      <c r="H279" t="s">
        <v>39</v>
      </c>
      <c r="I279" t="s">
        <v>63</v>
      </c>
      <c r="J279" t="s">
        <v>41</v>
      </c>
      <c r="K279" t="s">
        <v>58</v>
      </c>
      <c r="L279" s="19">
        <v>1</v>
      </c>
      <c r="M279" s="20">
        <v>1344000</v>
      </c>
      <c r="N279" s="20">
        <v>1140500</v>
      </c>
      <c r="O279" s="20">
        <f t="shared" si="14"/>
        <v>203500</v>
      </c>
      <c r="P279" t="s">
        <v>78</v>
      </c>
    </row>
    <row r="280" spans="1:16">
      <c r="A280" t="s">
        <v>360</v>
      </c>
      <c r="B280" s="18">
        <v>45911</v>
      </c>
      <c r="C280" s="19">
        <f t="shared" si="12"/>
        <v>2025</v>
      </c>
      <c r="D280" s="19" t="str">
        <f t="shared" si="13"/>
        <v>Sep</v>
      </c>
      <c r="E280" t="s">
        <v>17</v>
      </c>
      <c r="F280" t="s">
        <v>51</v>
      </c>
      <c r="G280" t="s">
        <v>98</v>
      </c>
      <c r="H280" t="s">
        <v>99</v>
      </c>
      <c r="I280" t="s">
        <v>48</v>
      </c>
      <c r="J280" t="s">
        <v>49</v>
      </c>
      <c r="K280" t="s">
        <v>42</v>
      </c>
      <c r="L280" s="19">
        <v>1</v>
      </c>
      <c r="M280" s="20">
        <v>1236000</v>
      </c>
      <c r="N280" s="20">
        <v>1083700</v>
      </c>
      <c r="O280" s="20">
        <f t="shared" si="14"/>
        <v>152300</v>
      </c>
      <c r="P280" t="s">
        <v>54</v>
      </c>
    </row>
    <row r="281" spans="1:16">
      <c r="A281" t="s">
        <v>361</v>
      </c>
      <c r="B281" s="18">
        <v>45912</v>
      </c>
      <c r="C281" s="19">
        <f t="shared" si="12"/>
        <v>2025</v>
      </c>
      <c r="D281" s="19" t="str">
        <f t="shared" si="13"/>
        <v>Sep</v>
      </c>
      <c r="E281" t="s">
        <v>33</v>
      </c>
      <c r="F281" t="s">
        <v>34</v>
      </c>
      <c r="G281" t="s">
        <v>34</v>
      </c>
      <c r="H281" t="s">
        <v>35</v>
      </c>
      <c r="I281" t="s">
        <v>30</v>
      </c>
      <c r="J281" t="s">
        <v>22</v>
      </c>
      <c r="K281" t="s">
        <v>23</v>
      </c>
      <c r="L281" s="19">
        <v>1</v>
      </c>
      <c r="M281" s="20">
        <v>1838000</v>
      </c>
      <c r="N281" s="20">
        <v>1473700</v>
      </c>
      <c r="O281" s="20">
        <f t="shared" si="14"/>
        <v>364300</v>
      </c>
      <c r="P281" t="s">
        <v>72</v>
      </c>
    </row>
    <row r="282" spans="1:16">
      <c r="A282" t="s">
        <v>362</v>
      </c>
      <c r="B282" s="18">
        <v>45912</v>
      </c>
      <c r="C282" s="19">
        <f t="shared" si="12"/>
        <v>2025</v>
      </c>
      <c r="D282" s="19" t="str">
        <f t="shared" si="13"/>
        <v>Sep</v>
      </c>
      <c r="E282" t="s">
        <v>26</v>
      </c>
      <c r="F282" t="s">
        <v>27</v>
      </c>
      <c r="G282" t="s">
        <v>28</v>
      </c>
      <c r="H282" t="s">
        <v>39</v>
      </c>
      <c r="I282" t="s">
        <v>63</v>
      </c>
      <c r="J282" t="s">
        <v>41</v>
      </c>
      <c r="K282" t="s">
        <v>58</v>
      </c>
      <c r="L282" s="19">
        <v>1</v>
      </c>
      <c r="M282" s="20">
        <v>1308000</v>
      </c>
      <c r="N282" s="20">
        <v>1104500</v>
      </c>
      <c r="O282" s="20">
        <f t="shared" si="14"/>
        <v>203500</v>
      </c>
      <c r="P282" t="s">
        <v>54</v>
      </c>
    </row>
    <row r="283" spans="1:16">
      <c r="A283" t="s">
        <v>363</v>
      </c>
      <c r="B283" s="18">
        <v>45912</v>
      </c>
      <c r="C283" s="19">
        <f t="shared" si="12"/>
        <v>2025</v>
      </c>
      <c r="D283" s="19" t="str">
        <f t="shared" si="13"/>
        <v>Sep</v>
      </c>
      <c r="E283" t="s">
        <v>17</v>
      </c>
      <c r="F283" t="s">
        <v>18</v>
      </c>
      <c r="G283" t="s">
        <v>19</v>
      </c>
      <c r="H283" t="s">
        <v>74</v>
      </c>
      <c r="I283" t="s">
        <v>40</v>
      </c>
      <c r="J283" t="s">
        <v>41</v>
      </c>
      <c r="K283" t="s">
        <v>42</v>
      </c>
      <c r="L283" s="19">
        <v>1</v>
      </c>
      <c r="M283" s="20">
        <v>1706000</v>
      </c>
      <c r="N283" s="20">
        <v>1369400</v>
      </c>
      <c r="O283" s="20">
        <f t="shared" si="14"/>
        <v>336600</v>
      </c>
      <c r="P283" t="s">
        <v>31</v>
      </c>
    </row>
    <row r="284" spans="1:16">
      <c r="A284" t="s">
        <v>364</v>
      </c>
      <c r="B284" s="18">
        <v>45913</v>
      </c>
      <c r="C284" s="19">
        <f t="shared" si="12"/>
        <v>2025</v>
      </c>
      <c r="D284" s="19" t="str">
        <f t="shared" si="13"/>
        <v>Sep</v>
      </c>
      <c r="E284" t="s">
        <v>17</v>
      </c>
      <c r="F284" t="s">
        <v>51</v>
      </c>
      <c r="G284" t="s">
        <v>98</v>
      </c>
      <c r="H284" t="s">
        <v>99</v>
      </c>
      <c r="I284" t="s">
        <v>21</v>
      </c>
      <c r="J284" t="s">
        <v>22</v>
      </c>
      <c r="K284" t="s">
        <v>23</v>
      </c>
      <c r="L284" s="19">
        <v>1</v>
      </c>
      <c r="M284" s="20">
        <v>1816000</v>
      </c>
      <c r="N284" s="20">
        <v>1502400</v>
      </c>
      <c r="O284" s="20">
        <f t="shared" si="14"/>
        <v>313600</v>
      </c>
      <c r="P284" t="s">
        <v>31</v>
      </c>
    </row>
    <row r="285" spans="1:16">
      <c r="A285" t="s">
        <v>365</v>
      </c>
      <c r="B285" s="18">
        <v>45914</v>
      </c>
      <c r="C285" s="19">
        <f t="shared" si="12"/>
        <v>2025</v>
      </c>
      <c r="D285" s="19" t="str">
        <f t="shared" si="13"/>
        <v>Sep</v>
      </c>
      <c r="E285" t="s">
        <v>26</v>
      </c>
      <c r="F285" t="s">
        <v>65</v>
      </c>
      <c r="G285" t="s">
        <v>66</v>
      </c>
      <c r="H285" t="s">
        <v>67</v>
      </c>
      <c r="I285" t="s">
        <v>121</v>
      </c>
      <c r="J285" t="s">
        <v>57</v>
      </c>
      <c r="K285" t="s">
        <v>42</v>
      </c>
      <c r="L285" s="19">
        <v>1</v>
      </c>
      <c r="M285" s="20">
        <v>1597000</v>
      </c>
      <c r="N285" s="20">
        <v>1313300</v>
      </c>
      <c r="O285" s="20">
        <f t="shared" si="14"/>
        <v>283700</v>
      </c>
      <c r="P285" t="s">
        <v>31</v>
      </c>
    </row>
    <row r="286" spans="1:16">
      <c r="A286" t="s">
        <v>366</v>
      </c>
      <c r="B286" s="18">
        <v>45914</v>
      </c>
      <c r="C286" s="19">
        <f t="shared" si="12"/>
        <v>2025</v>
      </c>
      <c r="D286" s="19" t="str">
        <f t="shared" si="13"/>
        <v>Sep</v>
      </c>
      <c r="E286" t="s">
        <v>17</v>
      </c>
      <c r="F286" t="s">
        <v>51</v>
      </c>
      <c r="G286" t="s">
        <v>52</v>
      </c>
      <c r="H286" t="s">
        <v>53</v>
      </c>
      <c r="I286" t="s">
        <v>121</v>
      </c>
      <c r="J286" t="s">
        <v>57</v>
      </c>
      <c r="K286" t="s">
        <v>42</v>
      </c>
      <c r="L286" s="19">
        <v>1</v>
      </c>
      <c r="M286" s="20">
        <v>1583000</v>
      </c>
      <c r="N286" s="20">
        <v>1317800</v>
      </c>
      <c r="O286" s="20">
        <f t="shared" si="14"/>
        <v>265200</v>
      </c>
      <c r="P286" t="s">
        <v>72</v>
      </c>
    </row>
    <row r="287" spans="1:16">
      <c r="A287" t="s">
        <v>367</v>
      </c>
      <c r="B287" s="18">
        <v>45914</v>
      </c>
      <c r="C287" s="19">
        <f t="shared" si="12"/>
        <v>2025</v>
      </c>
      <c r="D287" s="19" t="str">
        <f t="shared" si="13"/>
        <v>Sep</v>
      </c>
      <c r="E287" t="s">
        <v>17</v>
      </c>
      <c r="F287" t="s">
        <v>18</v>
      </c>
      <c r="G287" t="s">
        <v>19</v>
      </c>
      <c r="H287" t="s">
        <v>74</v>
      </c>
      <c r="I287" t="s">
        <v>30</v>
      </c>
      <c r="J287" t="s">
        <v>22</v>
      </c>
      <c r="K287" t="s">
        <v>23</v>
      </c>
      <c r="L287" s="19">
        <v>1</v>
      </c>
      <c r="M287" s="20">
        <v>1823000</v>
      </c>
      <c r="N287" s="20">
        <v>1585500</v>
      </c>
      <c r="O287" s="20">
        <f t="shared" si="14"/>
        <v>237500</v>
      </c>
      <c r="P287" t="s">
        <v>31</v>
      </c>
    </row>
    <row r="288" spans="1:16">
      <c r="A288" t="s">
        <v>368</v>
      </c>
      <c r="B288" s="18">
        <v>45915</v>
      </c>
      <c r="C288" s="19">
        <f t="shared" si="12"/>
        <v>2025</v>
      </c>
      <c r="D288" s="19" t="str">
        <f t="shared" si="13"/>
        <v>Sep</v>
      </c>
      <c r="E288" t="s">
        <v>26</v>
      </c>
      <c r="F288" t="s">
        <v>131</v>
      </c>
      <c r="G288" t="s">
        <v>132</v>
      </c>
      <c r="H288" t="s">
        <v>133</v>
      </c>
      <c r="I288" t="s">
        <v>68</v>
      </c>
      <c r="J288" t="s">
        <v>49</v>
      </c>
      <c r="K288" t="s">
        <v>58</v>
      </c>
      <c r="L288" s="19">
        <v>1</v>
      </c>
      <c r="M288" s="20">
        <v>910000</v>
      </c>
      <c r="N288" s="20">
        <v>766100</v>
      </c>
      <c r="O288" s="20">
        <f t="shared" si="14"/>
        <v>143900</v>
      </c>
      <c r="P288" t="s">
        <v>24</v>
      </c>
    </row>
    <row r="289" spans="1:16">
      <c r="A289" t="s">
        <v>369</v>
      </c>
      <c r="B289" s="18">
        <v>45915</v>
      </c>
      <c r="C289" s="19">
        <f t="shared" si="12"/>
        <v>2025</v>
      </c>
      <c r="D289" s="19" t="str">
        <f t="shared" si="13"/>
        <v>Sep</v>
      </c>
      <c r="E289" t="s">
        <v>26</v>
      </c>
      <c r="F289" t="s">
        <v>65</v>
      </c>
      <c r="G289" t="s">
        <v>66</v>
      </c>
      <c r="H289" t="s">
        <v>67</v>
      </c>
      <c r="I289" t="s">
        <v>121</v>
      </c>
      <c r="J289" t="s">
        <v>57</v>
      </c>
      <c r="K289" t="s">
        <v>42</v>
      </c>
      <c r="L289" s="19">
        <v>1</v>
      </c>
      <c r="M289" s="20">
        <v>1629000</v>
      </c>
      <c r="N289" s="20">
        <v>1399700</v>
      </c>
      <c r="O289" s="20">
        <f t="shared" si="14"/>
        <v>229300</v>
      </c>
      <c r="P289" t="s">
        <v>24</v>
      </c>
    </row>
    <row r="290" spans="1:16">
      <c r="A290" t="s">
        <v>370</v>
      </c>
      <c r="B290" s="18">
        <v>45916</v>
      </c>
      <c r="C290" s="19">
        <f t="shared" si="12"/>
        <v>2025</v>
      </c>
      <c r="D290" s="19" t="str">
        <f t="shared" si="13"/>
        <v>Sep</v>
      </c>
      <c r="E290" t="s">
        <v>26</v>
      </c>
      <c r="F290" t="s">
        <v>65</v>
      </c>
      <c r="G290" t="s">
        <v>66</v>
      </c>
      <c r="H290" t="s">
        <v>67</v>
      </c>
      <c r="I290" t="s">
        <v>121</v>
      </c>
      <c r="J290" t="s">
        <v>57</v>
      </c>
      <c r="K290" t="s">
        <v>42</v>
      </c>
      <c r="L290" s="19">
        <v>1</v>
      </c>
      <c r="M290" s="20">
        <v>1637000</v>
      </c>
      <c r="N290" s="20">
        <v>1368800</v>
      </c>
      <c r="O290" s="20">
        <f t="shared" si="14"/>
        <v>268200</v>
      </c>
      <c r="P290" t="s">
        <v>24</v>
      </c>
    </row>
    <row r="291" spans="1:16">
      <c r="A291" t="s">
        <v>371</v>
      </c>
      <c r="B291" s="18">
        <v>45917</v>
      </c>
      <c r="C291" s="19">
        <f t="shared" si="12"/>
        <v>2025</v>
      </c>
      <c r="D291" s="19" t="str">
        <f t="shared" si="13"/>
        <v>Sep</v>
      </c>
      <c r="E291" t="s">
        <v>17</v>
      </c>
      <c r="F291" t="s">
        <v>18</v>
      </c>
      <c r="G291" t="s">
        <v>60</v>
      </c>
      <c r="H291" t="s">
        <v>61</v>
      </c>
      <c r="I291" t="s">
        <v>48</v>
      </c>
      <c r="J291" t="s">
        <v>49</v>
      </c>
      <c r="K291" t="s">
        <v>42</v>
      </c>
      <c r="L291" s="19">
        <v>1</v>
      </c>
      <c r="M291" s="20">
        <v>1254000</v>
      </c>
      <c r="N291" s="20">
        <v>1056600</v>
      </c>
      <c r="O291" s="20">
        <f t="shared" si="14"/>
        <v>197400</v>
      </c>
      <c r="P291" t="s">
        <v>24</v>
      </c>
    </row>
    <row r="292" spans="1:16">
      <c r="A292" t="s">
        <v>372</v>
      </c>
      <c r="B292" s="18">
        <v>45917</v>
      </c>
      <c r="C292" s="19">
        <f t="shared" si="12"/>
        <v>2025</v>
      </c>
      <c r="D292" s="19" t="str">
        <f t="shared" si="13"/>
        <v>Sep</v>
      </c>
      <c r="E292" t="s">
        <v>17</v>
      </c>
      <c r="F292" t="s">
        <v>51</v>
      </c>
      <c r="G292" t="s">
        <v>52</v>
      </c>
      <c r="H292" t="s">
        <v>70</v>
      </c>
      <c r="I292" t="s">
        <v>68</v>
      </c>
      <c r="J292" t="s">
        <v>49</v>
      </c>
      <c r="K292" t="s">
        <v>58</v>
      </c>
      <c r="L292" s="19">
        <v>1</v>
      </c>
      <c r="M292" s="20">
        <v>929000</v>
      </c>
      <c r="N292" s="20">
        <v>789300</v>
      </c>
      <c r="O292" s="20">
        <f t="shared" si="14"/>
        <v>139700</v>
      </c>
      <c r="P292" t="s">
        <v>31</v>
      </c>
    </row>
    <row r="293" spans="1:16">
      <c r="A293" t="s">
        <v>373</v>
      </c>
      <c r="B293" s="18">
        <v>45918</v>
      </c>
      <c r="C293" s="19">
        <f t="shared" si="12"/>
        <v>2025</v>
      </c>
      <c r="D293" s="19" t="str">
        <f t="shared" si="13"/>
        <v>Sep</v>
      </c>
      <c r="E293" t="s">
        <v>17</v>
      </c>
      <c r="F293" t="s">
        <v>51</v>
      </c>
      <c r="G293" t="s">
        <v>52</v>
      </c>
      <c r="H293" t="s">
        <v>70</v>
      </c>
      <c r="I293" t="s">
        <v>68</v>
      </c>
      <c r="J293" t="s">
        <v>49</v>
      </c>
      <c r="K293" t="s">
        <v>58</v>
      </c>
      <c r="L293" s="19">
        <v>1</v>
      </c>
      <c r="M293" s="20">
        <v>947000</v>
      </c>
      <c r="N293" s="20">
        <v>792200</v>
      </c>
      <c r="O293" s="20">
        <f t="shared" si="14"/>
        <v>154800</v>
      </c>
      <c r="P293" t="s">
        <v>31</v>
      </c>
    </row>
    <row r="294" spans="1:16">
      <c r="A294" t="s">
        <v>374</v>
      </c>
      <c r="B294" s="18">
        <v>45918</v>
      </c>
      <c r="C294" s="19">
        <f t="shared" si="12"/>
        <v>2025</v>
      </c>
      <c r="D294" s="19" t="str">
        <f t="shared" si="13"/>
        <v>Sep</v>
      </c>
      <c r="E294" t="s">
        <v>17</v>
      </c>
      <c r="F294" t="s">
        <v>18</v>
      </c>
      <c r="G294" t="s">
        <v>60</v>
      </c>
      <c r="H294" t="s">
        <v>61</v>
      </c>
      <c r="I294" t="s">
        <v>63</v>
      </c>
      <c r="J294" t="s">
        <v>41</v>
      </c>
      <c r="K294" t="s">
        <v>58</v>
      </c>
      <c r="L294" s="19">
        <v>1</v>
      </c>
      <c r="M294" s="20">
        <v>1398000</v>
      </c>
      <c r="N294" s="20">
        <v>1127600</v>
      </c>
      <c r="O294" s="20">
        <f t="shared" si="14"/>
        <v>270400</v>
      </c>
      <c r="P294" t="s">
        <v>54</v>
      </c>
    </row>
    <row r="295" spans="1:16">
      <c r="A295" t="s">
        <v>375</v>
      </c>
      <c r="B295" s="18">
        <v>45919</v>
      </c>
      <c r="C295" s="19">
        <f t="shared" si="12"/>
        <v>2025</v>
      </c>
      <c r="D295" s="19" t="str">
        <f t="shared" si="13"/>
        <v>Sep</v>
      </c>
      <c r="E295" t="s">
        <v>17</v>
      </c>
      <c r="F295" t="s">
        <v>18</v>
      </c>
      <c r="G295" t="s">
        <v>19</v>
      </c>
      <c r="H295" t="s">
        <v>20</v>
      </c>
      <c r="I295" t="s">
        <v>48</v>
      </c>
      <c r="J295" t="s">
        <v>49</v>
      </c>
      <c r="K295" t="s">
        <v>42</v>
      </c>
      <c r="L295" s="19">
        <v>1</v>
      </c>
      <c r="M295" s="20">
        <v>1191000</v>
      </c>
      <c r="N295" s="20">
        <v>1012200</v>
      </c>
      <c r="O295" s="20">
        <f t="shared" si="14"/>
        <v>178800</v>
      </c>
      <c r="P295" t="s">
        <v>54</v>
      </c>
    </row>
    <row r="296" spans="1:16">
      <c r="A296" t="s">
        <v>376</v>
      </c>
      <c r="B296" s="18">
        <v>45919</v>
      </c>
      <c r="C296" s="19">
        <f t="shared" si="12"/>
        <v>2025</v>
      </c>
      <c r="D296" s="19" t="str">
        <f t="shared" si="13"/>
        <v>Sep</v>
      </c>
      <c r="E296" t="s">
        <v>17</v>
      </c>
      <c r="F296" t="s">
        <v>51</v>
      </c>
      <c r="G296" t="s">
        <v>52</v>
      </c>
      <c r="H296" t="s">
        <v>70</v>
      </c>
      <c r="I296" t="s">
        <v>71</v>
      </c>
      <c r="J296" t="s">
        <v>49</v>
      </c>
      <c r="K296" t="s">
        <v>58</v>
      </c>
      <c r="L296" s="19">
        <v>1</v>
      </c>
      <c r="M296" s="20">
        <v>1025000</v>
      </c>
      <c r="N296" s="20">
        <v>865900</v>
      </c>
      <c r="O296" s="20">
        <f t="shared" si="14"/>
        <v>159100</v>
      </c>
      <c r="P296" t="s">
        <v>31</v>
      </c>
    </row>
    <row r="297" spans="1:16">
      <c r="A297" t="s">
        <v>377</v>
      </c>
      <c r="B297" s="18">
        <v>45919</v>
      </c>
      <c r="C297" s="19">
        <f t="shared" si="12"/>
        <v>2025</v>
      </c>
      <c r="D297" s="19" t="str">
        <f t="shared" si="13"/>
        <v>Sep</v>
      </c>
      <c r="E297" t="s">
        <v>26</v>
      </c>
      <c r="F297" t="s">
        <v>65</v>
      </c>
      <c r="G297" t="s">
        <v>66</v>
      </c>
      <c r="H297" t="s">
        <v>67</v>
      </c>
      <c r="I297" t="s">
        <v>40</v>
      </c>
      <c r="J297" t="s">
        <v>41</v>
      </c>
      <c r="K297" t="s">
        <v>42</v>
      </c>
      <c r="L297" s="19">
        <v>1</v>
      </c>
      <c r="M297" s="20">
        <v>1765000</v>
      </c>
      <c r="N297" s="20">
        <v>1476300</v>
      </c>
      <c r="O297" s="20">
        <f t="shared" si="14"/>
        <v>288700</v>
      </c>
      <c r="P297" t="s">
        <v>31</v>
      </c>
    </row>
    <row r="298" spans="1:16">
      <c r="A298" t="s">
        <v>378</v>
      </c>
      <c r="B298" s="18">
        <v>45920</v>
      </c>
      <c r="C298" s="19">
        <f t="shared" si="12"/>
        <v>2025</v>
      </c>
      <c r="D298" s="19" t="str">
        <f t="shared" si="13"/>
        <v>Sep</v>
      </c>
      <c r="E298" t="s">
        <v>44</v>
      </c>
      <c r="F298" t="s">
        <v>45</v>
      </c>
      <c r="G298" t="s">
        <v>46</v>
      </c>
      <c r="H298" t="s">
        <v>47</v>
      </c>
      <c r="I298" t="s">
        <v>71</v>
      </c>
      <c r="J298" t="s">
        <v>49</v>
      </c>
      <c r="K298" t="s">
        <v>58</v>
      </c>
      <c r="L298" s="19">
        <v>1</v>
      </c>
      <c r="M298" s="20">
        <v>1021000</v>
      </c>
      <c r="N298" s="20">
        <v>878300</v>
      </c>
      <c r="O298" s="20">
        <f t="shared" si="14"/>
        <v>142700</v>
      </c>
      <c r="P298" t="s">
        <v>24</v>
      </c>
    </row>
    <row r="299" spans="1:16">
      <c r="A299" t="s">
        <v>379</v>
      </c>
      <c r="B299" s="18">
        <v>45920</v>
      </c>
      <c r="C299" s="19">
        <f t="shared" si="12"/>
        <v>2025</v>
      </c>
      <c r="D299" s="19" t="str">
        <f t="shared" si="13"/>
        <v>Sep</v>
      </c>
      <c r="E299" t="s">
        <v>17</v>
      </c>
      <c r="F299" t="s">
        <v>51</v>
      </c>
      <c r="G299" t="s">
        <v>98</v>
      </c>
      <c r="H299" t="s">
        <v>99</v>
      </c>
      <c r="I299" t="s">
        <v>21</v>
      </c>
      <c r="J299" t="s">
        <v>22</v>
      </c>
      <c r="K299" t="s">
        <v>23</v>
      </c>
      <c r="L299" s="19">
        <v>1</v>
      </c>
      <c r="M299" s="20">
        <v>1779000</v>
      </c>
      <c r="N299" s="20">
        <v>1550300</v>
      </c>
      <c r="O299" s="20">
        <f t="shared" si="14"/>
        <v>228700</v>
      </c>
      <c r="P299" t="s">
        <v>24</v>
      </c>
    </row>
    <row r="300" spans="1:16">
      <c r="A300" t="s">
        <v>380</v>
      </c>
      <c r="B300" s="18">
        <v>45920</v>
      </c>
      <c r="C300" s="19">
        <f t="shared" si="12"/>
        <v>2025</v>
      </c>
      <c r="D300" s="19" t="str">
        <f t="shared" si="13"/>
        <v>Sep</v>
      </c>
      <c r="E300" t="s">
        <v>33</v>
      </c>
      <c r="F300" t="s">
        <v>34</v>
      </c>
      <c r="G300" t="s">
        <v>34</v>
      </c>
      <c r="H300" t="s">
        <v>102</v>
      </c>
      <c r="I300" t="s">
        <v>63</v>
      </c>
      <c r="J300" t="s">
        <v>41</v>
      </c>
      <c r="K300" t="s">
        <v>58</v>
      </c>
      <c r="L300" s="19">
        <v>1</v>
      </c>
      <c r="M300" s="20">
        <v>1363000</v>
      </c>
      <c r="N300" s="20">
        <v>1090600</v>
      </c>
      <c r="O300" s="20">
        <f t="shared" si="14"/>
        <v>272400</v>
      </c>
      <c r="P300" t="s">
        <v>31</v>
      </c>
    </row>
    <row r="301" spans="1:16">
      <c r="A301" t="s">
        <v>381</v>
      </c>
      <c r="B301" s="18">
        <v>45922</v>
      </c>
      <c r="C301" s="19">
        <f t="shared" si="12"/>
        <v>2025</v>
      </c>
      <c r="D301" s="19" t="str">
        <f t="shared" si="13"/>
        <v>Sep</v>
      </c>
      <c r="E301" t="s">
        <v>17</v>
      </c>
      <c r="F301" t="s">
        <v>51</v>
      </c>
      <c r="G301" t="s">
        <v>98</v>
      </c>
      <c r="H301" t="s">
        <v>99</v>
      </c>
      <c r="I301" t="s">
        <v>71</v>
      </c>
      <c r="J301" t="s">
        <v>49</v>
      </c>
      <c r="K301" t="s">
        <v>58</v>
      </c>
      <c r="L301" s="19">
        <v>1</v>
      </c>
      <c r="M301" s="20">
        <v>1007000</v>
      </c>
      <c r="N301" s="20">
        <v>852100</v>
      </c>
      <c r="O301" s="20">
        <f t="shared" si="14"/>
        <v>154900</v>
      </c>
      <c r="P301" t="s">
        <v>37</v>
      </c>
    </row>
    <row r="302" spans="1:16">
      <c r="A302" t="s">
        <v>382</v>
      </c>
      <c r="B302" s="18">
        <v>45922</v>
      </c>
      <c r="C302" s="19">
        <f t="shared" si="12"/>
        <v>2025</v>
      </c>
      <c r="D302" s="19" t="str">
        <f t="shared" si="13"/>
        <v>Sep</v>
      </c>
      <c r="E302" t="s">
        <v>17</v>
      </c>
      <c r="F302" t="s">
        <v>18</v>
      </c>
      <c r="G302" t="s">
        <v>60</v>
      </c>
      <c r="H302" t="s">
        <v>61</v>
      </c>
      <c r="I302" t="s">
        <v>48</v>
      </c>
      <c r="J302" t="s">
        <v>49</v>
      </c>
      <c r="K302" t="s">
        <v>42</v>
      </c>
      <c r="L302" s="19">
        <v>1</v>
      </c>
      <c r="M302" s="20">
        <v>1289000</v>
      </c>
      <c r="N302" s="20">
        <v>1048600</v>
      </c>
      <c r="O302" s="20">
        <f t="shared" si="14"/>
        <v>240400</v>
      </c>
      <c r="P302" t="s">
        <v>31</v>
      </c>
    </row>
    <row r="303" spans="1:16">
      <c r="A303" t="s">
        <v>383</v>
      </c>
      <c r="B303" s="18">
        <v>45922</v>
      </c>
      <c r="C303" s="19">
        <f t="shared" si="12"/>
        <v>2025</v>
      </c>
      <c r="D303" s="19" t="str">
        <f t="shared" si="13"/>
        <v>Sep</v>
      </c>
      <c r="E303" t="s">
        <v>17</v>
      </c>
      <c r="F303" t="s">
        <v>18</v>
      </c>
      <c r="G303" t="s">
        <v>19</v>
      </c>
      <c r="H303" t="s">
        <v>20</v>
      </c>
      <c r="I303" t="s">
        <v>56</v>
      </c>
      <c r="J303" t="s">
        <v>57</v>
      </c>
      <c r="K303" t="s">
        <v>58</v>
      </c>
      <c r="L303" s="19">
        <v>1</v>
      </c>
      <c r="M303" s="20">
        <v>1230000</v>
      </c>
      <c r="N303" s="20">
        <v>1024300</v>
      </c>
      <c r="O303" s="20">
        <f t="shared" si="14"/>
        <v>205700</v>
      </c>
      <c r="P303" t="s">
        <v>31</v>
      </c>
    </row>
    <row r="304" spans="1:16">
      <c r="A304" t="s">
        <v>384</v>
      </c>
      <c r="B304" s="18">
        <v>45922</v>
      </c>
      <c r="C304" s="19">
        <f t="shared" si="12"/>
        <v>2025</v>
      </c>
      <c r="D304" s="19" t="str">
        <f t="shared" si="13"/>
        <v>Sep</v>
      </c>
      <c r="E304" t="s">
        <v>17</v>
      </c>
      <c r="F304" t="s">
        <v>18</v>
      </c>
      <c r="G304" t="s">
        <v>60</v>
      </c>
      <c r="H304" t="s">
        <v>61</v>
      </c>
      <c r="I304" t="s">
        <v>40</v>
      </c>
      <c r="J304" t="s">
        <v>41</v>
      </c>
      <c r="K304" t="s">
        <v>42</v>
      </c>
      <c r="L304" s="19">
        <v>1</v>
      </c>
      <c r="M304" s="20">
        <v>1693000</v>
      </c>
      <c r="N304" s="20">
        <v>1384200</v>
      </c>
      <c r="O304" s="20">
        <f t="shared" si="14"/>
        <v>308800</v>
      </c>
      <c r="P304" t="s">
        <v>24</v>
      </c>
    </row>
    <row r="305" spans="1:16">
      <c r="A305" t="s">
        <v>385</v>
      </c>
      <c r="B305" s="18">
        <v>45923</v>
      </c>
      <c r="C305" s="19">
        <f t="shared" si="12"/>
        <v>2025</v>
      </c>
      <c r="D305" s="19" t="str">
        <f t="shared" si="13"/>
        <v>Sep</v>
      </c>
      <c r="E305" t="s">
        <v>17</v>
      </c>
      <c r="F305" t="s">
        <v>51</v>
      </c>
      <c r="G305" t="s">
        <v>98</v>
      </c>
      <c r="H305" t="s">
        <v>99</v>
      </c>
      <c r="I305" t="s">
        <v>68</v>
      </c>
      <c r="J305" t="s">
        <v>49</v>
      </c>
      <c r="K305" t="s">
        <v>58</v>
      </c>
      <c r="L305" s="19">
        <v>1</v>
      </c>
      <c r="M305" s="20">
        <v>949000</v>
      </c>
      <c r="N305" s="20">
        <v>795800</v>
      </c>
      <c r="O305" s="20">
        <f t="shared" si="14"/>
        <v>153200</v>
      </c>
      <c r="P305" t="s">
        <v>24</v>
      </c>
    </row>
    <row r="306" spans="1:16">
      <c r="A306" t="s">
        <v>386</v>
      </c>
      <c r="B306" s="18">
        <v>45923</v>
      </c>
      <c r="C306" s="19">
        <f t="shared" si="12"/>
        <v>2025</v>
      </c>
      <c r="D306" s="19" t="str">
        <f t="shared" si="13"/>
        <v>Sep</v>
      </c>
      <c r="E306" t="s">
        <v>26</v>
      </c>
      <c r="F306" t="s">
        <v>27</v>
      </c>
      <c r="G306" t="s">
        <v>28</v>
      </c>
      <c r="H306" t="s">
        <v>39</v>
      </c>
      <c r="I306" t="s">
        <v>48</v>
      </c>
      <c r="J306" t="s">
        <v>49</v>
      </c>
      <c r="K306" t="s">
        <v>42</v>
      </c>
      <c r="L306" s="19">
        <v>1</v>
      </c>
      <c r="M306" s="20">
        <v>1214000</v>
      </c>
      <c r="N306" s="20">
        <v>1021100</v>
      </c>
      <c r="O306" s="20">
        <f t="shared" si="14"/>
        <v>192900</v>
      </c>
      <c r="P306" t="s">
        <v>31</v>
      </c>
    </row>
    <row r="307" spans="1:16">
      <c r="A307" t="s">
        <v>387</v>
      </c>
      <c r="B307" s="18">
        <v>45923</v>
      </c>
      <c r="C307" s="19">
        <f t="shared" si="12"/>
        <v>2025</v>
      </c>
      <c r="D307" s="19" t="str">
        <f t="shared" si="13"/>
        <v>Sep</v>
      </c>
      <c r="E307" t="s">
        <v>17</v>
      </c>
      <c r="F307" t="s">
        <v>18</v>
      </c>
      <c r="G307" t="s">
        <v>19</v>
      </c>
      <c r="H307" t="s">
        <v>74</v>
      </c>
      <c r="I307" t="s">
        <v>56</v>
      </c>
      <c r="J307" t="s">
        <v>57</v>
      </c>
      <c r="K307" t="s">
        <v>58</v>
      </c>
      <c r="L307" s="19">
        <v>1</v>
      </c>
      <c r="M307" s="20">
        <v>1237000</v>
      </c>
      <c r="N307" s="20">
        <v>1012800</v>
      </c>
      <c r="O307" s="20">
        <f t="shared" si="14"/>
        <v>224200</v>
      </c>
      <c r="P307" t="s">
        <v>24</v>
      </c>
    </row>
    <row r="308" spans="1:16">
      <c r="A308" t="s">
        <v>388</v>
      </c>
      <c r="B308" s="18">
        <v>45923</v>
      </c>
      <c r="C308" s="19">
        <f t="shared" si="12"/>
        <v>2025</v>
      </c>
      <c r="D308" s="19" t="str">
        <f t="shared" si="13"/>
        <v>Sep</v>
      </c>
      <c r="E308" t="s">
        <v>26</v>
      </c>
      <c r="F308" t="s">
        <v>65</v>
      </c>
      <c r="G308" t="s">
        <v>66</v>
      </c>
      <c r="H308" t="s">
        <v>67</v>
      </c>
      <c r="I308" t="s">
        <v>40</v>
      </c>
      <c r="J308" t="s">
        <v>41</v>
      </c>
      <c r="K308" t="s">
        <v>42</v>
      </c>
      <c r="L308" s="19">
        <v>1</v>
      </c>
      <c r="M308" s="20">
        <v>1762000</v>
      </c>
      <c r="N308" s="20">
        <v>1505900</v>
      </c>
      <c r="O308" s="20">
        <f t="shared" si="14"/>
        <v>256100</v>
      </c>
      <c r="P308" t="s">
        <v>54</v>
      </c>
    </row>
    <row r="309" spans="1:16">
      <c r="A309" t="s">
        <v>389</v>
      </c>
      <c r="B309" s="18">
        <v>45923</v>
      </c>
      <c r="C309" s="19">
        <f t="shared" si="12"/>
        <v>2025</v>
      </c>
      <c r="D309" s="19" t="str">
        <f t="shared" si="13"/>
        <v>Sep</v>
      </c>
      <c r="E309" t="s">
        <v>17</v>
      </c>
      <c r="F309" t="s">
        <v>18</v>
      </c>
      <c r="G309" t="s">
        <v>60</v>
      </c>
      <c r="H309" t="s">
        <v>61</v>
      </c>
      <c r="I309" t="s">
        <v>71</v>
      </c>
      <c r="J309" t="s">
        <v>49</v>
      </c>
      <c r="K309" t="s">
        <v>58</v>
      </c>
      <c r="L309" s="19">
        <v>1</v>
      </c>
      <c r="M309" s="20">
        <v>1020000</v>
      </c>
      <c r="N309" s="20">
        <v>818800</v>
      </c>
      <c r="O309" s="20">
        <f t="shared" si="14"/>
        <v>201200</v>
      </c>
      <c r="P309" t="s">
        <v>72</v>
      </c>
    </row>
    <row r="310" spans="1:16">
      <c r="A310" t="s">
        <v>390</v>
      </c>
      <c r="B310" s="18">
        <v>45924</v>
      </c>
      <c r="C310" s="19">
        <f t="shared" si="12"/>
        <v>2025</v>
      </c>
      <c r="D310" s="19" t="str">
        <f t="shared" si="13"/>
        <v>Sep</v>
      </c>
      <c r="E310" t="s">
        <v>17</v>
      </c>
      <c r="F310" t="s">
        <v>51</v>
      </c>
      <c r="G310" t="s">
        <v>52</v>
      </c>
      <c r="H310" t="s">
        <v>70</v>
      </c>
      <c r="I310" t="s">
        <v>63</v>
      </c>
      <c r="J310" t="s">
        <v>41</v>
      </c>
      <c r="K310" t="s">
        <v>58</v>
      </c>
      <c r="L310" s="19">
        <v>1</v>
      </c>
      <c r="M310" s="20">
        <v>1325000</v>
      </c>
      <c r="N310" s="20">
        <v>1069300</v>
      </c>
      <c r="O310" s="20">
        <f t="shared" si="14"/>
        <v>255700</v>
      </c>
      <c r="P310" t="s">
        <v>24</v>
      </c>
    </row>
    <row r="311" spans="1:16">
      <c r="A311" t="s">
        <v>391</v>
      </c>
      <c r="B311" s="18">
        <v>45927</v>
      </c>
      <c r="C311" s="19">
        <f t="shared" si="12"/>
        <v>2025</v>
      </c>
      <c r="D311" s="19" t="str">
        <f t="shared" si="13"/>
        <v>Sep</v>
      </c>
      <c r="E311" t="s">
        <v>17</v>
      </c>
      <c r="F311" t="s">
        <v>18</v>
      </c>
      <c r="G311" t="s">
        <v>19</v>
      </c>
      <c r="H311" t="s">
        <v>74</v>
      </c>
      <c r="I311" t="s">
        <v>171</v>
      </c>
      <c r="J311" t="s">
        <v>22</v>
      </c>
      <c r="K311" t="s">
        <v>42</v>
      </c>
      <c r="L311" s="19">
        <v>1</v>
      </c>
      <c r="M311" s="20">
        <v>6274000</v>
      </c>
      <c r="N311" s="20">
        <v>5316800</v>
      </c>
      <c r="O311" s="20">
        <f t="shared" si="14"/>
        <v>957200</v>
      </c>
      <c r="P311" t="s">
        <v>78</v>
      </c>
    </row>
    <row r="312" spans="1:16">
      <c r="A312" t="s">
        <v>392</v>
      </c>
      <c r="B312" s="18">
        <v>45927</v>
      </c>
      <c r="C312" s="19">
        <f t="shared" si="12"/>
        <v>2025</v>
      </c>
      <c r="D312" s="19" t="str">
        <f t="shared" si="13"/>
        <v>Sep</v>
      </c>
      <c r="E312" t="s">
        <v>17</v>
      </c>
      <c r="F312" t="s">
        <v>18</v>
      </c>
      <c r="G312" t="s">
        <v>19</v>
      </c>
      <c r="H312" t="s">
        <v>20</v>
      </c>
      <c r="I312" t="s">
        <v>68</v>
      </c>
      <c r="J312" t="s">
        <v>49</v>
      </c>
      <c r="K312" t="s">
        <v>58</v>
      </c>
      <c r="L312" s="19">
        <v>1</v>
      </c>
      <c r="M312" s="20">
        <v>900000</v>
      </c>
      <c r="N312" s="20">
        <v>771600</v>
      </c>
      <c r="O312" s="20">
        <f t="shared" si="14"/>
        <v>128400</v>
      </c>
      <c r="P312" t="s">
        <v>31</v>
      </c>
    </row>
    <row r="313" spans="1:16">
      <c r="A313" t="s">
        <v>393</v>
      </c>
      <c r="B313" s="18">
        <v>45928</v>
      </c>
      <c r="C313" s="19">
        <f t="shared" si="12"/>
        <v>2025</v>
      </c>
      <c r="D313" s="19" t="str">
        <f t="shared" si="13"/>
        <v>Sep</v>
      </c>
      <c r="E313" t="s">
        <v>26</v>
      </c>
      <c r="F313" t="s">
        <v>65</v>
      </c>
      <c r="G313" t="s">
        <v>66</v>
      </c>
      <c r="H313" t="s">
        <v>67</v>
      </c>
      <c r="I313" t="s">
        <v>71</v>
      </c>
      <c r="J313" t="s">
        <v>49</v>
      </c>
      <c r="K313" t="s">
        <v>58</v>
      </c>
      <c r="L313" s="19">
        <v>1</v>
      </c>
      <c r="M313" s="20">
        <v>1045000</v>
      </c>
      <c r="N313" s="20">
        <v>890100</v>
      </c>
      <c r="O313" s="20">
        <f t="shared" si="14"/>
        <v>154900</v>
      </c>
      <c r="P313" t="s">
        <v>31</v>
      </c>
    </row>
    <row r="314" spans="1:16">
      <c r="A314" t="s">
        <v>394</v>
      </c>
      <c r="B314" s="18">
        <v>45929</v>
      </c>
      <c r="C314" s="19">
        <f t="shared" si="12"/>
        <v>2025</v>
      </c>
      <c r="D314" s="19" t="str">
        <f t="shared" si="13"/>
        <v>Sep</v>
      </c>
      <c r="E314" t="s">
        <v>33</v>
      </c>
      <c r="F314" t="s">
        <v>34</v>
      </c>
      <c r="G314" t="s">
        <v>34</v>
      </c>
      <c r="H314" t="s">
        <v>102</v>
      </c>
      <c r="I314" t="s">
        <v>56</v>
      </c>
      <c r="J314" t="s">
        <v>57</v>
      </c>
      <c r="K314" t="s">
        <v>58</v>
      </c>
      <c r="L314" s="19">
        <v>1</v>
      </c>
      <c r="M314" s="20">
        <v>1249000</v>
      </c>
      <c r="N314" s="20">
        <v>1081600</v>
      </c>
      <c r="O314" s="20">
        <f t="shared" si="14"/>
        <v>167400</v>
      </c>
      <c r="P314" t="s">
        <v>78</v>
      </c>
    </row>
    <row r="315" spans="1:16">
      <c r="A315" t="s">
        <v>395</v>
      </c>
      <c r="B315" s="18">
        <v>45930</v>
      </c>
      <c r="C315" s="19">
        <f t="shared" si="12"/>
        <v>2025</v>
      </c>
      <c r="D315" s="19" t="str">
        <f t="shared" si="13"/>
        <v>Sep</v>
      </c>
      <c r="E315" t="s">
        <v>17</v>
      </c>
      <c r="F315" t="s">
        <v>18</v>
      </c>
      <c r="G315" t="s">
        <v>19</v>
      </c>
      <c r="H315" t="s">
        <v>20</v>
      </c>
      <c r="I315" t="s">
        <v>71</v>
      </c>
      <c r="J315" t="s">
        <v>49</v>
      </c>
      <c r="K315" t="s">
        <v>58</v>
      </c>
      <c r="L315" s="19">
        <v>1</v>
      </c>
      <c r="M315" s="20">
        <v>979000</v>
      </c>
      <c r="N315" s="20">
        <v>835100</v>
      </c>
      <c r="O315" s="20">
        <f t="shared" si="14"/>
        <v>143900</v>
      </c>
      <c r="P315" t="s">
        <v>54</v>
      </c>
    </row>
    <row r="316" spans="1:16">
      <c r="A316" t="s">
        <v>396</v>
      </c>
      <c r="B316" s="18">
        <v>45931</v>
      </c>
      <c r="C316" s="19">
        <f t="shared" si="12"/>
        <v>2025</v>
      </c>
      <c r="D316" s="19" t="str">
        <f t="shared" si="13"/>
        <v>Oct</v>
      </c>
      <c r="E316" t="s">
        <v>33</v>
      </c>
      <c r="F316" t="s">
        <v>34</v>
      </c>
      <c r="G316" t="s">
        <v>34</v>
      </c>
      <c r="H316" t="s">
        <v>35</v>
      </c>
      <c r="I316" t="s">
        <v>30</v>
      </c>
      <c r="J316" t="s">
        <v>22</v>
      </c>
      <c r="K316" t="s">
        <v>23</v>
      </c>
      <c r="L316" s="19">
        <v>1</v>
      </c>
      <c r="M316" s="20">
        <v>1722000</v>
      </c>
      <c r="N316" s="20">
        <v>1445700</v>
      </c>
      <c r="O316" s="20">
        <f t="shared" si="14"/>
        <v>276300</v>
      </c>
      <c r="P316" t="s">
        <v>31</v>
      </c>
    </row>
    <row r="317" spans="1:16">
      <c r="A317" t="s">
        <v>397</v>
      </c>
      <c r="B317" s="18">
        <v>45932</v>
      </c>
      <c r="C317" s="19">
        <f t="shared" si="12"/>
        <v>2025</v>
      </c>
      <c r="D317" s="19" t="str">
        <f t="shared" si="13"/>
        <v>Oct</v>
      </c>
      <c r="E317" t="s">
        <v>17</v>
      </c>
      <c r="F317" t="s">
        <v>18</v>
      </c>
      <c r="G317" t="s">
        <v>19</v>
      </c>
      <c r="H317" t="s">
        <v>20</v>
      </c>
      <c r="I317" t="s">
        <v>48</v>
      </c>
      <c r="J317" t="s">
        <v>49</v>
      </c>
      <c r="K317" t="s">
        <v>42</v>
      </c>
      <c r="L317" s="19">
        <v>1</v>
      </c>
      <c r="M317" s="20">
        <v>1257000</v>
      </c>
      <c r="N317" s="20">
        <v>1027400</v>
      </c>
      <c r="O317" s="20">
        <f t="shared" si="14"/>
        <v>229600</v>
      </c>
      <c r="P317" t="s">
        <v>37</v>
      </c>
    </row>
    <row r="318" spans="1:16">
      <c r="A318" t="s">
        <v>398</v>
      </c>
      <c r="B318" s="18">
        <v>45932</v>
      </c>
      <c r="C318" s="19">
        <f t="shared" si="12"/>
        <v>2025</v>
      </c>
      <c r="D318" s="19" t="str">
        <f t="shared" si="13"/>
        <v>Oct</v>
      </c>
      <c r="E318" t="s">
        <v>17</v>
      </c>
      <c r="F318" t="s">
        <v>18</v>
      </c>
      <c r="G318" t="s">
        <v>19</v>
      </c>
      <c r="H318" t="s">
        <v>74</v>
      </c>
      <c r="I318" t="s">
        <v>56</v>
      </c>
      <c r="J318" t="s">
        <v>57</v>
      </c>
      <c r="K318" t="s">
        <v>58</v>
      </c>
      <c r="L318" s="19">
        <v>1</v>
      </c>
      <c r="M318" s="20">
        <v>1247000</v>
      </c>
      <c r="N318" s="20">
        <v>1067000</v>
      </c>
      <c r="O318" s="20">
        <f t="shared" si="14"/>
        <v>180000</v>
      </c>
      <c r="P318" t="s">
        <v>72</v>
      </c>
    </row>
    <row r="319" spans="1:16">
      <c r="A319" t="s">
        <v>399</v>
      </c>
      <c r="B319" s="18">
        <v>45932</v>
      </c>
      <c r="C319" s="19">
        <f t="shared" si="12"/>
        <v>2025</v>
      </c>
      <c r="D319" s="19" t="str">
        <f t="shared" si="13"/>
        <v>Oct</v>
      </c>
      <c r="E319" t="s">
        <v>44</v>
      </c>
      <c r="F319" t="s">
        <v>45</v>
      </c>
      <c r="G319" t="s">
        <v>46</v>
      </c>
      <c r="H319" t="s">
        <v>47</v>
      </c>
      <c r="I319" t="s">
        <v>21</v>
      </c>
      <c r="J319" t="s">
        <v>22</v>
      </c>
      <c r="K319" t="s">
        <v>23</v>
      </c>
      <c r="L319" s="19">
        <v>1</v>
      </c>
      <c r="M319" s="20">
        <v>1922000</v>
      </c>
      <c r="N319" s="20">
        <v>1615400</v>
      </c>
      <c r="O319" s="20">
        <f t="shared" si="14"/>
        <v>306600</v>
      </c>
      <c r="P319" t="s">
        <v>24</v>
      </c>
    </row>
    <row r="320" spans="1:16">
      <c r="A320" t="s">
        <v>400</v>
      </c>
      <c r="B320" s="18">
        <v>45932</v>
      </c>
      <c r="C320" s="19">
        <f t="shared" si="12"/>
        <v>2025</v>
      </c>
      <c r="D320" s="19" t="str">
        <f t="shared" si="13"/>
        <v>Oct</v>
      </c>
      <c r="E320" t="s">
        <v>17</v>
      </c>
      <c r="F320" t="s">
        <v>18</v>
      </c>
      <c r="G320" t="s">
        <v>60</v>
      </c>
      <c r="H320" t="s">
        <v>61</v>
      </c>
      <c r="I320" t="s">
        <v>40</v>
      </c>
      <c r="J320" t="s">
        <v>41</v>
      </c>
      <c r="K320" t="s">
        <v>42</v>
      </c>
      <c r="L320" s="19">
        <v>1</v>
      </c>
      <c r="M320" s="20">
        <v>1745000</v>
      </c>
      <c r="N320" s="20">
        <v>1435600</v>
      </c>
      <c r="O320" s="20">
        <f t="shared" si="14"/>
        <v>309400</v>
      </c>
      <c r="P320" t="s">
        <v>54</v>
      </c>
    </row>
    <row r="321" spans="1:16">
      <c r="A321" t="s">
        <v>401</v>
      </c>
      <c r="B321" s="18">
        <v>45933</v>
      </c>
      <c r="C321" s="19">
        <f t="shared" si="12"/>
        <v>2025</v>
      </c>
      <c r="D321" s="19" t="str">
        <f t="shared" si="13"/>
        <v>Oct</v>
      </c>
      <c r="E321" t="s">
        <v>33</v>
      </c>
      <c r="F321" t="s">
        <v>81</v>
      </c>
      <c r="G321" t="s">
        <v>82</v>
      </c>
      <c r="H321" t="s">
        <v>83</v>
      </c>
      <c r="I321" t="s">
        <v>71</v>
      </c>
      <c r="J321" t="s">
        <v>49</v>
      </c>
      <c r="K321" t="s">
        <v>58</v>
      </c>
      <c r="L321" s="19">
        <v>1</v>
      </c>
      <c r="M321" s="20">
        <v>1013000</v>
      </c>
      <c r="N321" s="20">
        <v>838500</v>
      </c>
      <c r="O321" s="20">
        <f t="shared" si="14"/>
        <v>174500</v>
      </c>
      <c r="P321" t="s">
        <v>31</v>
      </c>
    </row>
    <row r="322" spans="1:16">
      <c r="A322" t="s">
        <v>402</v>
      </c>
      <c r="B322" s="18">
        <v>45934</v>
      </c>
      <c r="C322" s="19">
        <f t="shared" ref="C322:C385" si="15">YEAR(B322)</f>
        <v>2025</v>
      </c>
      <c r="D322" s="19" t="str">
        <f t="shared" ref="D322:D385" si="16">CHOOSE(MONTH(B322),"Jan","Feb","Mar","Apr","May","Jun","Jul","Aug","Sep","Oct","Nov","Dec")</f>
        <v>Oct</v>
      </c>
      <c r="E322" t="s">
        <v>33</v>
      </c>
      <c r="F322" t="s">
        <v>34</v>
      </c>
      <c r="G322" t="s">
        <v>34</v>
      </c>
      <c r="H322" t="s">
        <v>35</v>
      </c>
      <c r="I322" t="s">
        <v>171</v>
      </c>
      <c r="J322" t="s">
        <v>22</v>
      </c>
      <c r="K322" t="s">
        <v>42</v>
      </c>
      <c r="L322" s="19">
        <v>1</v>
      </c>
      <c r="M322" s="20">
        <v>6087000</v>
      </c>
      <c r="N322" s="20">
        <v>5319800</v>
      </c>
      <c r="O322" s="20">
        <f t="shared" ref="O322:O385" si="17">M322-N322</f>
        <v>767200</v>
      </c>
      <c r="P322" t="s">
        <v>54</v>
      </c>
    </row>
    <row r="323" spans="1:16">
      <c r="A323" t="s">
        <v>403</v>
      </c>
      <c r="B323" s="18">
        <v>45934</v>
      </c>
      <c r="C323" s="19">
        <f t="shared" si="15"/>
        <v>2025</v>
      </c>
      <c r="D323" s="19" t="str">
        <f t="shared" si="16"/>
        <v>Oct</v>
      </c>
      <c r="E323" t="s">
        <v>26</v>
      </c>
      <c r="F323" t="s">
        <v>27</v>
      </c>
      <c r="G323" t="s">
        <v>28</v>
      </c>
      <c r="H323" t="s">
        <v>29</v>
      </c>
      <c r="I323" t="s">
        <v>21</v>
      </c>
      <c r="J323" t="s">
        <v>22</v>
      </c>
      <c r="K323" t="s">
        <v>23</v>
      </c>
      <c r="L323" s="19">
        <v>1</v>
      </c>
      <c r="M323" s="20">
        <v>1917000</v>
      </c>
      <c r="N323" s="20">
        <v>1553000</v>
      </c>
      <c r="O323" s="20">
        <f t="shared" si="17"/>
        <v>364000</v>
      </c>
      <c r="P323" t="s">
        <v>37</v>
      </c>
    </row>
    <row r="324" spans="1:16">
      <c r="A324" t="s">
        <v>404</v>
      </c>
      <c r="B324" s="18">
        <v>45934</v>
      </c>
      <c r="C324" s="19">
        <f t="shared" si="15"/>
        <v>2025</v>
      </c>
      <c r="D324" s="19" t="str">
        <f t="shared" si="16"/>
        <v>Oct</v>
      </c>
      <c r="E324" t="s">
        <v>26</v>
      </c>
      <c r="F324" t="s">
        <v>131</v>
      </c>
      <c r="G324" t="s">
        <v>132</v>
      </c>
      <c r="H324" t="s">
        <v>133</v>
      </c>
      <c r="I324" t="s">
        <v>68</v>
      </c>
      <c r="J324" t="s">
        <v>49</v>
      </c>
      <c r="K324" t="s">
        <v>58</v>
      </c>
      <c r="L324" s="19">
        <v>1</v>
      </c>
      <c r="M324" s="20">
        <v>933000</v>
      </c>
      <c r="N324" s="20">
        <v>749100</v>
      </c>
      <c r="O324" s="20">
        <f t="shared" si="17"/>
        <v>183900</v>
      </c>
      <c r="P324" t="s">
        <v>37</v>
      </c>
    </row>
    <row r="325" spans="1:16">
      <c r="A325" t="s">
        <v>405</v>
      </c>
      <c r="B325" s="18">
        <v>45936</v>
      </c>
      <c r="C325" s="19">
        <f t="shared" si="15"/>
        <v>2025</v>
      </c>
      <c r="D325" s="19" t="str">
        <f t="shared" si="16"/>
        <v>Oct</v>
      </c>
      <c r="E325" t="s">
        <v>44</v>
      </c>
      <c r="F325" t="s">
        <v>118</v>
      </c>
      <c r="G325" t="s">
        <v>119</v>
      </c>
      <c r="H325" t="s">
        <v>120</v>
      </c>
      <c r="I325" t="s">
        <v>56</v>
      </c>
      <c r="J325" t="s">
        <v>57</v>
      </c>
      <c r="K325" t="s">
        <v>58</v>
      </c>
      <c r="L325" s="19">
        <v>1</v>
      </c>
      <c r="M325" s="20">
        <v>1233000</v>
      </c>
      <c r="N325" s="20">
        <v>1059300</v>
      </c>
      <c r="O325" s="20">
        <f t="shared" si="17"/>
        <v>173700</v>
      </c>
      <c r="P325" t="s">
        <v>31</v>
      </c>
    </row>
    <row r="326" spans="1:16">
      <c r="A326" t="s">
        <v>406</v>
      </c>
      <c r="B326" s="18">
        <v>45936</v>
      </c>
      <c r="C326" s="19">
        <f t="shared" si="15"/>
        <v>2025</v>
      </c>
      <c r="D326" s="19" t="str">
        <f t="shared" si="16"/>
        <v>Oct</v>
      </c>
      <c r="E326" t="s">
        <v>17</v>
      </c>
      <c r="F326" t="s">
        <v>51</v>
      </c>
      <c r="G326" t="s">
        <v>52</v>
      </c>
      <c r="H326" t="s">
        <v>70</v>
      </c>
      <c r="I326" t="s">
        <v>71</v>
      </c>
      <c r="J326" t="s">
        <v>49</v>
      </c>
      <c r="K326" t="s">
        <v>58</v>
      </c>
      <c r="L326" s="19">
        <v>1</v>
      </c>
      <c r="M326" s="20">
        <v>1046000</v>
      </c>
      <c r="N326" s="20">
        <v>890500</v>
      </c>
      <c r="O326" s="20">
        <f t="shared" si="17"/>
        <v>155500</v>
      </c>
      <c r="P326" t="s">
        <v>72</v>
      </c>
    </row>
    <row r="327" spans="1:16">
      <c r="A327" t="s">
        <v>407</v>
      </c>
      <c r="B327" s="18">
        <v>45937</v>
      </c>
      <c r="C327" s="19">
        <f t="shared" si="15"/>
        <v>2025</v>
      </c>
      <c r="D327" s="19" t="str">
        <f t="shared" si="16"/>
        <v>Oct</v>
      </c>
      <c r="E327" t="s">
        <v>17</v>
      </c>
      <c r="F327" t="s">
        <v>51</v>
      </c>
      <c r="G327" t="s">
        <v>52</v>
      </c>
      <c r="H327" t="s">
        <v>70</v>
      </c>
      <c r="I327" t="s">
        <v>40</v>
      </c>
      <c r="J327" t="s">
        <v>41</v>
      </c>
      <c r="K327" t="s">
        <v>42</v>
      </c>
      <c r="L327" s="19">
        <v>1</v>
      </c>
      <c r="M327" s="20">
        <v>1700000</v>
      </c>
      <c r="N327" s="20">
        <v>1380400</v>
      </c>
      <c r="O327" s="20">
        <f t="shared" si="17"/>
        <v>319600</v>
      </c>
      <c r="P327" t="s">
        <v>24</v>
      </c>
    </row>
    <row r="328" spans="1:16">
      <c r="A328" t="s">
        <v>408</v>
      </c>
      <c r="B328" s="18">
        <v>45938</v>
      </c>
      <c r="C328" s="19">
        <f t="shared" si="15"/>
        <v>2025</v>
      </c>
      <c r="D328" s="19" t="str">
        <f t="shared" si="16"/>
        <v>Oct</v>
      </c>
      <c r="E328" t="s">
        <v>26</v>
      </c>
      <c r="F328" t="s">
        <v>65</v>
      </c>
      <c r="G328" t="s">
        <v>66</v>
      </c>
      <c r="H328" t="s">
        <v>67</v>
      </c>
      <c r="I328" t="s">
        <v>21</v>
      </c>
      <c r="J328" t="s">
        <v>22</v>
      </c>
      <c r="K328" t="s">
        <v>23</v>
      </c>
      <c r="L328" s="19">
        <v>1</v>
      </c>
      <c r="M328" s="20">
        <v>1905000</v>
      </c>
      <c r="N328" s="20">
        <v>1632000</v>
      </c>
      <c r="O328" s="20">
        <f t="shared" si="17"/>
        <v>273000</v>
      </c>
      <c r="P328" t="s">
        <v>31</v>
      </c>
    </row>
    <row r="329" spans="1:16">
      <c r="A329" t="s">
        <v>409</v>
      </c>
      <c r="B329" s="18">
        <v>45938</v>
      </c>
      <c r="C329" s="19">
        <f t="shared" si="15"/>
        <v>2025</v>
      </c>
      <c r="D329" s="19" t="str">
        <f t="shared" si="16"/>
        <v>Oct</v>
      </c>
      <c r="E329" t="s">
        <v>26</v>
      </c>
      <c r="F329" t="s">
        <v>27</v>
      </c>
      <c r="G329" t="s">
        <v>28</v>
      </c>
      <c r="H329" t="s">
        <v>29</v>
      </c>
      <c r="I329" t="s">
        <v>56</v>
      </c>
      <c r="J329" t="s">
        <v>57</v>
      </c>
      <c r="K329" t="s">
        <v>58</v>
      </c>
      <c r="L329" s="19">
        <v>1</v>
      </c>
      <c r="M329" s="20">
        <v>1177000</v>
      </c>
      <c r="N329" s="20">
        <v>1022600</v>
      </c>
      <c r="O329" s="20">
        <f t="shared" si="17"/>
        <v>154400</v>
      </c>
      <c r="P329" t="s">
        <v>37</v>
      </c>
    </row>
    <row r="330" spans="1:16">
      <c r="A330" t="s">
        <v>410</v>
      </c>
      <c r="B330" s="18">
        <v>45940</v>
      </c>
      <c r="C330" s="19">
        <f t="shared" si="15"/>
        <v>2025</v>
      </c>
      <c r="D330" s="19" t="str">
        <f t="shared" si="16"/>
        <v>Oct</v>
      </c>
      <c r="E330" t="s">
        <v>17</v>
      </c>
      <c r="F330" t="s">
        <v>18</v>
      </c>
      <c r="G330" t="s">
        <v>19</v>
      </c>
      <c r="H330" t="s">
        <v>74</v>
      </c>
      <c r="I330" t="s">
        <v>63</v>
      </c>
      <c r="J330" t="s">
        <v>41</v>
      </c>
      <c r="K330" t="s">
        <v>58</v>
      </c>
      <c r="L330" s="19">
        <v>2</v>
      </c>
      <c r="M330" s="20">
        <v>2761000</v>
      </c>
      <c r="N330" s="20">
        <v>2248600</v>
      </c>
      <c r="O330" s="20">
        <f t="shared" si="17"/>
        <v>512400</v>
      </c>
      <c r="P330" t="s">
        <v>72</v>
      </c>
    </row>
    <row r="331" spans="1:16">
      <c r="A331" t="s">
        <v>411</v>
      </c>
      <c r="B331" s="18">
        <v>45940</v>
      </c>
      <c r="C331" s="19">
        <f t="shared" si="15"/>
        <v>2025</v>
      </c>
      <c r="D331" s="19" t="str">
        <f t="shared" si="16"/>
        <v>Oct</v>
      </c>
      <c r="E331" t="s">
        <v>17</v>
      </c>
      <c r="F331" t="s">
        <v>51</v>
      </c>
      <c r="G331" t="s">
        <v>52</v>
      </c>
      <c r="H331" t="s">
        <v>70</v>
      </c>
      <c r="I331" t="s">
        <v>63</v>
      </c>
      <c r="J331" t="s">
        <v>41</v>
      </c>
      <c r="K331" t="s">
        <v>58</v>
      </c>
      <c r="L331" s="19">
        <v>1</v>
      </c>
      <c r="M331" s="20">
        <v>1357000</v>
      </c>
      <c r="N331" s="20">
        <v>1094500</v>
      </c>
      <c r="O331" s="20">
        <f t="shared" si="17"/>
        <v>262500</v>
      </c>
      <c r="P331" t="s">
        <v>37</v>
      </c>
    </row>
    <row r="332" spans="1:16">
      <c r="A332" t="s">
        <v>412</v>
      </c>
      <c r="B332" s="18">
        <v>45941</v>
      </c>
      <c r="C332" s="19">
        <f t="shared" si="15"/>
        <v>2025</v>
      </c>
      <c r="D332" s="19" t="str">
        <f t="shared" si="16"/>
        <v>Oct</v>
      </c>
      <c r="E332" t="s">
        <v>33</v>
      </c>
      <c r="F332" t="s">
        <v>34</v>
      </c>
      <c r="G332" t="s">
        <v>34</v>
      </c>
      <c r="H332" t="s">
        <v>35</v>
      </c>
      <c r="I332" t="s">
        <v>56</v>
      </c>
      <c r="J332" t="s">
        <v>57</v>
      </c>
      <c r="K332" t="s">
        <v>58</v>
      </c>
      <c r="L332" s="19">
        <v>2</v>
      </c>
      <c r="M332" s="20">
        <v>2523000</v>
      </c>
      <c r="N332" s="20">
        <v>2207100</v>
      </c>
      <c r="O332" s="20">
        <f t="shared" si="17"/>
        <v>315900</v>
      </c>
      <c r="P332" t="s">
        <v>37</v>
      </c>
    </row>
    <row r="333" spans="1:16">
      <c r="A333" t="s">
        <v>413</v>
      </c>
      <c r="B333" s="18">
        <v>45941</v>
      </c>
      <c r="C333" s="19">
        <f t="shared" si="15"/>
        <v>2025</v>
      </c>
      <c r="D333" s="19" t="str">
        <f t="shared" si="16"/>
        <v>Oct</v>
      </c>
      <c r="E333" t="s">
        <v>17</v>
      </c>
      <c r="F333" t="s">
        <v>51</v>
      </c>
      <c r="G333" t="s">
        <v>98</v>
      </c>
      <c r="H333" t="s">
        <v>99</v>
      </c>
      <c r="I333" t="s">
        <v>121</v>
      </c>
      <c r="J333" t="s">
        <v>57</v>
      </c>
      <c r="K333" t="s">
        <v>42</v>
      </c>
      <c r="L333" s="19">
        <v>1</v>
      </c>
      <c r="M333" s="20">
        <v>1519000</v>
      </c>
      <c r="N333" s="20">
        <v>1321600</v>
      </c>
      <c r="O333" s="20">
        <f t="shared" si="17"/>
        <v>197400</v>
      </c>
      <c r="P333" t="s">
        <v>24</v>
      </c>
    </row>
    <row r="334" spans="1:16">
      <c r="A334" t="s">
        <v>414</v>
      </c>
      <c r="B334" s="18">
        <v>45941</v>
      </c>
      <c r="C334" s="19">
        <f t="shared" si="15"/>
        <v>2025</v>
      </c>
      <c r="D334" s="19" t="str">
        <f t="shared" si="16"/>
        <v>Oct</v>
      </c>
      <c r="E334" t="s">
        <v>26</v>
      </c>
      <c r="F334" t="s">
        <v>27</v>
      </c>
      <c r="G334" t="s">
        <v>28</v>
      </c>
      <c r="H334" t="s">
        <v>29</v>
      </c>
      <c r="I334" t="s">
        <v>71</v>
      </c>
      <c r="J334" t="s">
        <v>49</v>
      </c>
      <c r="K334" t="s">
        <v>58</v>
      </c>
      <c r="L334" s="19">
        <v>1</v>
      </c>
      <c r="M334" s="20">
        <v>981000</v>
      </c>
      <c r="N334" s="20">
        <v>851000</v>
      </c>
      <c r="O334" s="20">
        <f t="shared" si="17"/>
        <v>130000</v>
      </c>
      <c r="P334" t="s">
        <v>37</v>
      </c>
    </row>
    <row r="335" spans="1:16">
      <c r="A335" t="s">
        <v>415</v>
      </c>
      <c r="B335" s="18">
        <v>45941</v>
      </c>
      <c r="C335" s="19">
        <f t="shared" si="15"/>
        <v>2025</v>
      </c>
      <c r="D335" s="19" t="str">
        <f t="shared" si="16"/>
        <v>Oct</v>
      </c>
      <c r="E335" t="s">
        <v>33</v>
      </c>
      <c r="F335" t="s">
        <v>34</v>
      </c>
      <c r="G335" t="s">
        <v>34</v>
      </c>
      <c r="H335" t="s">
        <v>102</v>
      </c>
      <c r="I335" t="s">
        <v>71</v>
      </c>
      <c r="J335" t="s">
        <v>49</v>
      </c>
      <c r="K335" t="s">
        <v>58</v>
      </c>
      <c r="L335" s="19">
        <v>1</v>
      </c>
      <c r="M335" s="20">
        <v>1032000</v>
      </c>
      <c r="N335" s="20">
        <v>904700</v>
      </c>
      <c r="O335" s="20">
        <f t="shared" si="17"/>
        <v>127300</v>
      </c>
      <c r="P335" t="s">
        <v>54</v>
      </c>
    </row>
    <row r="336" spans="1:16">
      <c r="A336" t="s">
        <v>416</v>
      </c>
      <c r="B336" s="18">
        <v>45943</v>
      </c>
      <c r="C336" s="19">
        <f t="shared" si="15"/>
        <v>2025</v>
      </c>
      <c r="D336" s="19" t="str">
        <f t="shared" si="16"/>
        <v>Oct</v>
      </c>
      <c r="E336" t="s">
        <v>17</v>
      </c>
      <c r="F336" t="s">
        <v>18</v>
      </c>
      <c r="G336" t="s">
        <v>60</v>
      </c>
      <c r="H336" t="s">
        <v>61</v>
      </c>
      <c r="I336" t="s">
        <v>21</v>
      </c>
      <c r="J336" t="s">
        <v>22</v>
      </c>
      <c r="K336" t="s">
        <v>23</v>
      </c>
      <c r="L336" s="19">
        <v>1</v>
      </c>
      <c r="M336" s="20">
        <v>1871000</v>
      </c>
      <c r="N336" s="20">
        <v>1533200</v>
      </c>
      <c r="O336" s="20">
        <f t="shared" si="17"/>
        <v>337800</v>
      </c>
      <c r="P336" t="s">
        <v>31</v>
      </c>
    </row>
    <row r="337" spans="1:16">
      <c r="A337" t="s">
        <v>417</v>
      </c>
      <c r="B337" s="18">
        <v>45943</v>
      </c>
      <c r="C337" s="19">
        <f t="shared" si="15"/>
        <v>2025</v>
      </c>
      <c r="D337" s="19" t="str">
        <f t="shared" si="16"/>
        <v>Oct</v>
      </c>
      <c r="E337" t="s">
        <v>26</v>
      </c>
      <c r="F337" t="s">
        <v>27</v>
      </c>
      <c r="G337" t="s">
        <v>28</v>
      </c>
      <c r="H337" t="s">
        <v>39</v>
      </c>
      <c r="I337" t="s">
        <v>63</v>
      </c>
      <c r="J337" t="s">
        <v>41</v>
      </c>
      <c r="K337" t="s">
        <v>58</v>
      </c>
      <c r="L337" s="19">
        <v>1</v>
      </c>
      <c r="M337" s="20">
        <v>1347000</v>
      </c>
      <c r="N337" s="20">
        <v>1173800</v>
      </c>
      <c r="O337" s="20">
        <f t="shared" si="17"/>
        <v>173200</v>
      </c>
      <c r="P337" t="s">
        <v>54</v>
      </c>
    </row>
    <row r="338" spans="1:16">
      <c r="A338" t="s">
        <v>418</v>
      </c>
      <c r="B338" s="18">
        <v>45943</v>
      </c>
      <c r="C338" s="19">
        <f t="shared" si="15"/>
        <v>2025</v>
      </c>
      <c r="D338" s="19" t="str">
        <f t="shared" si="16"/>
        <v>Oct</v>
      </c>
      <c r="E338" t="s">
        <v>17</v>
      </c>
      <c r="F338" t="s">
        <v>51</v>
      </c>
      <c r="G338" t="s">
        <v>98</v>
      </c>
      <c r="H338" t="s">
        <v>99</v>
      </c>
      <c r="I338" t="s">
        <v>121</v>
      </c>
      <c r="J338" t="s">
        <v>57</v>
      </c>
      <c r="K338" t="s">
        <v>42</v>
      </c>
      <c r="L338" s="19">
        <v>1</v>
      </c>
      <c r="M338" s="20">
        <v>1643000</v>
      </c>
      <c r="N338" s="20">
        <v>1340100</v>
      </c>
      <c r="O338" s="20">
        <f t="shared" si="17"/>
        <v>302900</v>
      </c>
      <c r="P338" t="s">
        <v>54</v>
      </c>
    </row>
    <row r="339" spans="1:16">
      <c r="A339" t="s">
        <v>419</v>
      </c>
      <c r="B339" s="18">
        <v>45943</v>
      </c>
      <c r="C339" s="19">
        <f t="shared" si="15"/>
        <v>2025</v>
      </c>
      <c r="D339" s="19" t="str">
        <f t="shared" si="16"/>
        <v>Oct</v>
      </c>
      <c r="E339" t="s">
        <v>17</v>
      </c>
      <c r="F339" t="s">
        <v>18</v>
      </c>
      <c r="G339" t="s">
        <v>19</v>
      </c>
      <c r="H339" t="s">
        <v>74</v>
      </c>
      <c r="I339" t="s">
        <v>56</v>
      </c>
      <c r="J339" t="s">
        <v>57</v>
      </c>
      <c r="K339" t="s">
        <v>58</v>
      </c>
      <c r="L339" s="19">
        <v>1</v>
      </c>
      <c r="M339" s="20">
        <v>1179000</v>
      </c>
      <c r="N339" s="20">
        <v>1017200</v>
      </c>
      <c r="O339" s="20">
        <f t="shared" si="17"/>
        <v>161800</v>
      </c>
      <c r="P339" t="s">
        <v>54</v>
      </c>
    </row>
    <row r="340" spans="1:16">
      <c r="A340" t="s">
        <v>420</v>
      </c>
      <c r="B340" s="18">
        <v>45943</v>
      </c>
      <c r="C340" s="19">
        <f t="shared" si="15"/>
        <v>2025</v>
      </c>
      <c r="D340" s="19" t="str">
        <f t="shared" si="16"/>
        <v>Oct</v>
      </c>
      <c r="E340" t="s">
        <v>33</v>
      </c>
      <c r="F340" t="s">
        <v>34</v>
      </c>
      <c r="G340" t="s">
        <v>34</v>
      </c>
      <c r="H340" t="s">
        <v>102</v>
      </c>
      <c r="I340" t="s">
        <v>121</v>
      </c>
      <c r="J340" t="s">
        <v>57</v>
      </c>
      <c r="K340" t="s">
        <v>42</v>
      </c>
      <c r="L340" s="19">
        <v>1</v>
      </c>
      <c r="M340" s="20">
        <v>1602000</v>
      </c>
      <c r="N340" s="20">
        <v>1387400</v>
      </c>
      <c r="O340" s="20">
        <f t="shared" si="17"/>
        <v>214600</v>
      </c>
      <c r="P340" t="s">
        <v>72</v>
      </c>
    </row>
    <row r="341" spans="1:16">
      <c r="A341" t="s">
        <v>421</v>
      </c>
      <c r="B341" s="18">
        <v>45943</v>
      </c>
      <c r="C341" s="19">
        <f t="shared" si="15"/>
        <v>2025</v>
      </c>
      <c r="D341" s="19" t="str">
        <f t="shared" si="16"/>
        <v>Oct</v>
      </c>
      <c r="E341" t="s">
        <v>33</v>
      </c>
      <c r="F341" t="s">
        <v>81</v>
      </c>
      <c r="G341" t="s">
        <v>82</v>
      </c>
      <c r="H341" t="s">
        <v>83</v>
      </c>
      <c r="I341" t="s">
        <v>40</v>
      </c>
      <c r="J341" t="s">
        <v>41</v>
      </c>
      <c r="K341" t="s">
        <v>42</v>
      </c>
      <c r="L341" s="19">
        <v>1</v>
      </c>
      <c r="M341" s="20">
        <v>1683000</v>
      </c>
      <c r="N341" s="20">
        <v>1418000</v>
      </c>
      <c r="O341" s="20">
        <f t="shared" si="17"/>
        <v>265000</v>
      </c>
      <c r="P341" t="s">
        <v>31</v>
      </c>
    </row>
    <row r="342" spans="1:16">
      <c r="A342" t="s">
        <v>422</v>
      </c>
      <c r="B342" s="18">
        <v>45944</v>
      </c>
      <c r="C342" s="19">
        <f t="shared" si="15"/>
        <v>2025</v>
      </c>
      <c r="D342" s="19" t="str">
        <f t="shared" si="16"/>
        <v>Oct</v>
      </c>
      <c r="E342" t="s">
        <v>17</v>
      </c>
      <c r="F342" t="s">
        <v>51</v>
      </c>
      <c r="G342" t="s">
        <v>52</v>
      </c>
      <c r="H342" t="s">
        <v>70</v>
      </c>
      <c r="I342" t="s">
        <v>71</v>
      </c>
      <c r="J342" t="s">
        <v>49</v>
      </c>
      <c r="K342" t="s">
        <v>58</v>
      </c>
      <c r="L342" s="19">
        <v>1</v>
      </c>
      <c r="M342" s="20">
        <v>1010000</v>
      </c>
      <c r="N342" s="20">
        <v>863400</v>
      </c>
      <c r="O342" s="20">
        <f t="shared" si="17"/>
        <v>146600</v>
      </c>
      <c r="P342" t="s">
        <v>24</v>
      </c>
    </row>
    <row r="343" spans="1:16">
      <c r="A343" t="s">
        <v>423</v>
      </c>
      <c r="B343" s="18">
        <v>45944</v>
      </c>
      <c r="C343" s="19">
        <f t="shared" si="15"/>
        <v>2025</v>
      </c>
      <c r="D343" s="19" t="str">
        <f t="shared" si="16"/>
        <v>Oct</v>
      </c>
      <c r="E343" t="s">
        <v>26</v>
      </c>
      <c r="F343" t="s">
        <v>27</v>
      </c>
      <c r="G343" t="s">
        <v>28</v>
      </c>
      <c r="H343" t="s">
        <v>39</v>
      </c>
      <c r="I343" t="s">
        <v>40</v>
      </c>
      <c r="J343" t="s">
        <v>41</v>
      </c>
      <c r="K343" t="s">
        <v>42</v>
      </c>
      <c r="L343" s="19">
        <v>1</v>
      </c>
      <c r="M343" s="20">
        <v>1726000</v>
      </c>
      <c r="N343" s="20">
        <v>1398000</v>
      </c>
      <c r="O343" s="20">
        <f t="shared" si="17"/>
        <v>328000</v>
      </c>
      <c r="P343" t="s">
        <v>24</v>
      </c>
    </row>
    <row r="344" spans="1:16">
      <c r="A344" t="s">
        <v>424</v>
      </c>
      <c r="B344" s="18">
        <v>45945</v>
      </c>
      <c r="C344" s="19">
        <f t="shared" si="15"/>
        <v>2025</v>
      </c>
      <c r="D344" s="19" t="str">
        <f t="shared" si="16"/>
        <v>Oct</v>
      </c>
      <c r="E344" t="s">
        <v>33</v>
      </c>
      <c r="F344" t="s">
        <v>34</v>
      </c>
      <c r="G344" t="s">
        <v>34</v>
      </c>
      <c r="H344" t="s">
        <v>102</v>
      </c>
      <c r="I344" t="s">
        <v>68</v>
      </c>
      <c r="J344" t="s">
        <v>49</v>
      </c>
      <c r="K344" t="s">
        <v>58</v>
      </c>
      <c r="L344" s="19">
        <v>1</v>
      </c>
      <c r="M344" s="20">
        <v>907000</v>
      </c>
      <c r="N344" s="20">
        <v>766700</v>
      </c>
      <c r="O344" s="20">
        <f t="shared" si="17"/>
        <v>140300</v>
      </c>
      <c r="P344" t="s">
        <v>24</v>
      </c>
    </row>
    <row r="345" spans="1:16">
      <c r="A345" t="s">
        <v>425</v>
      </c>
      <c r="B345" s="18">
        <v>45946</v>
      </c>
      <c r="C345" s="19">
        <f t="shared" si="15"/>
        <v>2025</v>
      </c>
      <c r="D345" s="19" t="str">
        <f t="shared" si="16"/>
        <v>Oct</v>
      </c>
      <c r="E345" t="s">
        <v>17</v>
      </c>
      <c r="F345" t="s">
        <v>51</v>
      </c>
      <c r="G345" t="s">
        <v>52</v>
      </c>
      <c r="H345" t="s">
        <v>70</v>
      </c>
      <c r="I345" t="s">
        <v>30</v>
      </c>
      <c r="J345" t="s">
        <v>22</v>
      </c>
      <c r="K345" t="s">
        <v>23</v>
      </c>
      <c r="L345" s="19">
        <v>1</v>
      </c>
      <c r="M345" s="20">
        <v>1817000</v>
      </c>
      <c r="N345" s="20">
        <v>1532700</v>
      </c>
      <c r="O345" s="20">
        <f t="shared" si="17"/>
        <v>284300</v>
      </c>
      <c r="P345" t="s">
        <v>31</v>
      </c>
    </row>
    <row r="346" spans="1:16">
      <c r="A346" t="s">
        <v>426</v>
      </c>
      <c r="B346" s="18">
        <v>45946</v>
      </c>
      <c r="C346" s="19">
        <f t="shared" si="15"/>
        <v>2025</v>
      </c>
      <c r="D346" s="19" t="str">
        <f t="shared" si="16"/>
        <v>Oct</v>
      </c>
      <c r="E346" t="s">
        <v>33</v>
      </c>
      <c r="F346" t="s">
        <v>92</v>
      </c>
      <c r="G346" t="s">
        <v>93</v>
      </c>
      <c r="H346" t="s">
        <v>94</v>
      </c>
      <c r="I346" t="s">
        <v>71</v>
      </c>
      <c r="J346" t="s">
        <v>49</v>
      </c>
      <c r="K346" t="s">
        <v>58</v>
      </c>
      <c r="L346" s="19">
        <v>1</v>
      </c>
      <c r="M346" s="20">
        <v>1004000</v>
      </c>
      <c r="N346" s="20">
        <v>813100</v>
      </c>
      <c r="O346" s="20">
        <f t="shared" si="17"/>
        <v>190900</v>
      </c>
      <c r="P346" t="s">
        <v>24</v>
      </c>
    </row>
    <row r="347" spans="1:16">
      <c r="A347" t="s">
        <v>427</v>
      </c>
      <c r="B347" s="18">
        <v>45947</v>
      </c>
      <c r="C347" s="19">
        <f t="shared" si="15"/>
        <v>2025</v>
      </c>
      <c r="D347" s="19" t="str">
        <f t="shared" si="16"/>
        <v>Oct</v>
      </c>
      <c r="E347" t="s">
        <v>33</v>
      </c>
      <c r="F347" t="s">
        <v>81</v>
      </c>
      <c r="G347" t="s">
        <v>82</v>
      </c>
      <c r="H347" t="s">
        <v>83</v>
      </c>
      <c r="I347" t="s">
        <v>56</v>
      </c>
      <c r="J347" t="s">
        <v>57</v>
      </c>
      <c r="K347" t="s">
        <v>58</v>
      </c>
      <c r="L347" s="19">
        <v>1</v>
      </c>
      <c r="M347" s="20">
        <v>1195000</v>
      </c>
      <c r="N347" s="20">
        <v>962300</v>
      </c>
      <c r="O347" s="20">
        <f t="shared" si="17"/>
        <v>232700</v>
      </c>
      <c r="P347" t="s">
        <v>37</v>
      </c>
    </row>
    <row r="348" spans="1:16">
      <c r="A348" t="s">
        <v>428</v>
      </c>
      <c r="B348" s="18">
        <v>45947</v>
      </c>
      <c r="C348" s="19">
        <f t="shared" si="15"/>
        <v>2025</v>
      </c>
      <c r="D348" s="19" t="str">
        <f t="shared" si="16"/>
        <v>Oct</v>
      </c>
      <c r="E348" t="s">
        <v>26</v>
      </c>
      <c r="F348" t="s">
        <v>27</v>
      </c>
      <c r="G348" t="s">
        <v>28</v>
      </c>
      <c r="H348" t="s">
        <v>39</v>
      </c>
      <c r="I348" t="s">
        <v>40</v>
      </c>
      <c r="J348" t="s">
        <v>41</v>
      </c>
      <c r="K348" t="s">
        <v>42</v>
      </c>
      <c r="L348" s="19">
        <v>1</v>
      </c>
      <c r="M348" s="20">
        <v>1745000</v>
      </c>
      <c r="N348" s="20">
        <v>1479200</v>
      </c>
      <c r="O348" s="20">
        <f t="shared" si="17"/>
        <v>265800</v>
      </c>
      <c r="P348" t="s">
        <v>31</v>
      </c>
    </row>
    <row r="349" spans="1:16">
      <c r="A349" t="s">
        <v>429</v>
      </c>
      <c r="B349" s="18">
        <v>45948</v>
      </c>
      <c r="C349" s="19">
        <f t="shared" si="15"/>
        <v>2025</v>
      </c>
      <c r="D349" s="19" t="str">
        <f t="shared" si="16"/>
        <v>Oct</v>
      </c>
      <c r="E349" t="s">
        <v>33</v>
      </c>
      <c r="F349" t="s">
        <v>34</v>
      </c>
      <c r="G349" t="s">
        <v>34</v>
      </c>
      <c r="H349" t="s">
        <v>35</v>
      </c>
      <c r="I349" t="s">
        <v>40</v>
      </c>
      <c r="J349" t="s">
        <v>41</v>
      </c>
      <c r="K349" t="s">
        <v>42</v>
      </c>
      <c r="L349" s="19">
        <v>1</v>
      </c>
      <c r="M349" s="20">
        <v>1788000</v>
      </c>
      <c r="N349" s="20">
        <v>1502000</v>
      </c>
      <c r="O349" s="20">
        <f t="shared" si="17"/>
        <v>286000</v>
      </c>
      <c r="P349" t="s">
        <v>24</v>
      </c>
    </row>
    <row r="350" spans="1:16">
      <c r="A350" t="s">
        <v>430</v>
      </c>
      <c r="B350" s="18">
        <v>45949</v>
      </c>
      <c r="C350" s="19">
        <f t="shared" si="15"/>
        <v>2025</v>
      </c>
      <c r="D350" s="19" t="str">
        <f t="shared" si="16"/>
        <v>Oct</v>
      </c>
      <c r="E350" t="s">
        <v>17</v>
      </c>
      <c r="F350" t="s">
        <v>18</v>
      </c>
      <c r="G350" t="s">
        <v>60</v>
      </c>
      <c r="H350" t="s">
        <v>61</v>
      </c>
      <c r="I350" t="s">
        <v>121</v>
      </c>
      <c r="J350" t="s">
        <v>57</v>
      </c>
      <c r="K350" t="s">
        <v>42</v>
      </c>
      <c r="L350" s="19">
        <v>1</v>
      </c>
      <c r="M350" s="20">
        <v>1594000</v>
      </c>
      <c r="N350" s="20">
        <v>1328400</v>
      </c>
      <c r="O350" s="20">
        <f t="shared" si="17"/>
        <v>265600</v>
      </c>
      <c r="P350" t="s">
        <v>31</v>
      </c>
    </row>
    <row r="351" spans="1:16">
      <c r="A351" t="s">
        <v>431</v>
      </c>
      <c r="B351" s="18">
        <v>45949</v>
      </c>
      <c r="C351" s="19">
        <f t="shared" si="15"/>
        <v>2025</v>
      </c>
      <c r="D351" s="19" t="str">
        <f t="shared" si="16"/>
        <v>Oct</v>
      </c>
      <c r="E351" t="s">
        <v>33</v>
      </c>
      <c r="F351" t="s">
        <v>34</v>
      </c>
      <c r="G351" t="s">
        <v>34</v>
      </c>
      <c r="H351" t="s">
        <v>35</v>
      </c>
      <c r="I351" t="s">
        <v>63</v>
      </c>
      <c r="J351" t="s">
        <v>41</v>
      </c>
      <c r="K351" t="s">
        <v>58</v>
      </c>
      <c r="L351" s="19">
        <v>1</v>
      </c>
      <c r="M351" s="20">
        <v>1369000</v>
      </c>
      <c r="N351" s="20">
        <v>1168800</v>
      </c>
      <c r="O351" s="20">
        <f t="shared" si="17"/>
        <v>200200</v>
      </c>
      <c r="P351" t="s">
        <v>78</v>
      </c>
    </row>
    <row r="352" spans="1:16">
      <c r="A352" t="s">
        <v>432</v>
      </c>
      <c r="B352" s="18">
        <v>45949</v>
      </c>
      <c r="C352" s="19">
        <f t="shared" si="15"/>
        <v>2025</v>
      </c>
      <c r="D352" s="19" t="str">
        <f t="shared" si="16"/>
        <v>Oct</v>
      </c>
      <c r="E352" t="s">
        <v>17</v>
      </c>
      <c r="F352" t="s">
        <v>18</v>
      </c>
      <c r="G352" t="s">
        <v>60</v>
      </c>
      <c r="H352" t="s">
        <v>61</v>
      </c>
      <c r="I352" t="s">
        <v>121</v>
      </c>
      <c r="J352" t="s">
        <v>57</v>
      </c>
      <c r="K352" t="s">
        <v>42</v>
      </c>
      <c r="L352" s="19">
        <v>2</v>
      </c>
      <c r="M352" s="20">
        <v>3274000</v>
      </c>
      <c r="N352" s="20">
        <v>2741700</v>
      </c>
      <c r="O352" s="20">
        <f t="shared" si="17"/>
        <v>532300</v>
      </c>
      <c r="P352" t="s">
        <v>31</v>
      </c>
    </row>
    <row r="353" spans="1:16">
      <c r="A353" t="s">
        <v>433</v>
      </c>
      <c r="B353" s="18">
        <v>45950</v>
      </c>
      <c r="C353" s="19">
        <f t="shared" si="15"/>
        <v>2025</v>
      </c>
      <c r="D353" s="19" t="str">
        <f t="shared" si="16"/>
        <v>Oct</v>
      </c>
      <c r="E353" t="s">
        <v>33</v>
      </c>
      <c r="F353" t="s">
        <v>92</v>
      </c>
      <c r="G353" t="s">
        <v>93</v>
      </c>
      <c r="H353" t="s">
        <v>94</v>
      </c>
      <c r="I353" t="s">
        <v>56</v>
      </c>
      <c r="J353" t="s">
        <v>57</v>
      </c>
      <c r="K353" t="s">
        <v>58</v>
      </c>
      <c r="L353" s="19">
        <v>1</v>
      </c>
      <c r="M353" s="20">
        <v>1179000</v>
      </c>
      <c r="N353" s="20">
        <v>972800</v>
      </c>
      <c r="O353" s="20">
        <f t="shared" si="17"/>
        <v>206200</v>
      </c>
      <c r="P353" t="s">
        <v>31</v>
      </c>
    </row>
    <row r="354" spans="1:16">
      <c r="A354" t="s">
        <v>434</v>
      </c>
      <c r="B354" s="18">
        <v>45950</v>
      </c>
      <c r="C354" s="19">
        <f t="shared" si="15"/>
        <v>2025</v>
      </c>
      <c r="D354" s="19" t="str">
        <f t="shared" si="16"/>
        <v>Oct</v>
      </c>
      <c r="E354" t="s">
        <v>26</v>
      </c>
      <c r="F354" t="s">
        <v>27</v>
      </c>
      <c r="G354" t="s">
        <v>28</v>
      </c>
      <c r="H354" t="s">
        <v>39</v>
      </c>
      <c r="I354" t="s">
        <v>68</v>
      </c>
      <c r="J354" t="s">
        <v>49</v>
      </c>
      <c r="K354" t="s">
        <v>58</v>
      </c>
      <c r="L354" s="19">
        <v>1</v>
      </c>
      <c r="M354" s="20">
        <v>899000</v>
      </c>
      <c r="N354" s="20">
        <v>753900</v>
      </c>
      <c r="O354" s="20">
        <f t="shared" si="17"/>
        <v>145100</v>
      </c>
      <c r="P354" t="s">
        <v>72</v>
      </c>
    </row>
    <row r="355" spans="1:16">
      <c r="A355" t="s">
        <v>435</v>
      </c>
      <c r="B355" s="18">
        <v>45950</v>
      </c>
      <c r="C355" s="19">
        <f t="shared" si="15"/>
        <v>2025</v>
      </c>
      <c r="D355" s="19" t="str">
        <f t="shared" si="16"/>
        <v>Oct</v>
      </c>
      <c r="E355" t="s">
        <v>17</v>
      </c>
      <c r="F355" t="s">
        <v>51</v>
      </c>
      <c r="G355" t="s">
        <v>52</v>
      </c>
      <c r="H355" t="s">
        <v>70</v>
      </c>
      <c r="I355" t="s">
        <v>171</v>
      </c>
      <c r="J355" t="s">
        <v>22</v>
      </c>
      <c r="K355" t="s">
        <v>42</v>
      </c>
      <c r="L355" s="19">
        <v>1</v>
      </c>
      <c r="M355" s="20">
        <v>6527000</v>
      </c>
      <c r="N355" s="20">
        <v>5587600</v>
      </c>
      <c r="O355" s="20">
        <f t="shared" si="17"/>
        <v>939400</v>
      </c>
      <c r="P355" t="s">
        <v>24</v>
      </c>
    </row>
    <row r="356" spans="1:16">
      <c r="A356" t="s">
        <v>436</v>
      </c>
      <c r="B356" s="18">
        <v>45950</v>
      </c>
      <c r="C356" s="19">
        <f t="shared" si="15"/>
        <v>2025</v>
      </c>
      <c r="D356" s="19" t="str">
        <f t="shared" si="16"/>
        <v>Oct</v>
      </c>
      <c r="E356" t="s">
        <v>17</v>
      </c>
      <c r="F356" t="s">
        <v>51</v>
      </c>
      <c r="G356" t="s">
        <v>52</v>
      </c>
      <c r="H356" t="s">
        <v>53</v>
      </c>
      <c r="I356" t="s">
        <v>71</v>
      </c>
      <c r="J356" t="s">
        <v>49</v>
      </c>
      <c r="K356" t="s">
        <v>58</v>
      </c>
      <c r="L356" s="19">
        <v>1</v>
      </c>
      <c r="M356" s="20">
        <v>1040000</v>
      </c>
      <c r="N356" s="20">
        <v>854200</v>
      </c>
      <c r="O356" s="20">
        <f t="shared" si="17"/>
        <v>185800</v>
      </c>
      <c r="P356" t="s">
        <v>54</v>
      </c>
    </row>
    <row r="357" spans="1:16">
      <c r="A357" t="s">
        <v>437</v>
      </c>
      <c r="B357" s="18">
        <v>45950</v>
      </c>
      <c r="C357" s="19">
        <f t="shared" si="15"/>
        <v>2025</v>
      </c>
      <c r="D357" s="19" t="str">
        <f t="shared" si="16"/>
        <v>Oct</v>
      </c>
      <c r="E357" t="s">
        <v>26</v>
      </c>
      <c r="F357" t="s">
        <v>131</v>
      </c>
      <c r="G357" t="s">
        <v>132</v>
      </c>
      <c r="H357" t="s">
        <v>133</v>
      </c>
      <c r="I357" t="s">
        <v>71</v>
      </c>
      <c r="J357" t="s">
        <v>49</v>
      </c>
      <c r="K357" t="s">
        <v>58</v>
      </c>
      <c r="L357" s="19">
        <v>1</v>
      </c>
      <c r="M357" s="20">
        <v>981000</v>
      </c>
      <c r="N357" s="20">
        <v>797700</v>
      </c>
      <c r="O357" s="20">
        <f t="shared" si="17"/>
        <v>183300</v>
      </c>
      <c r="P357" t="s">
        <v>31</v>
      </c>
    </row>
    <row r="358" spans="1:16">
      <c r="A358" t="s">
        <v>438</v>
      </c>
      <c r="B358" s="18">
        <v>45953</v>
      </c>
      <c r="C358" s="19">
        <f t="shared" si="15"/>
        <v>2025</v>
      </c>
      <c r="D358" s="19" t="str">
        <f t="shared" si="16"/>
        <v>Oct</v>
      </c>
      <c r="E358" t="s">
        <v>44</v>
      </c>
      <c r="F358" t="s">
        <v>45</v>
      </c>
      <c r="G358" t="s">
        <v>46</v>
      </c>
      <c r="H358" t="s">
        <v>47</v>
      </c>
      <c r="I358" t="s">
        <v>30</v>
      </c>
      <c r="J358" t="s">
        <v>22</v>
      </c>
      <c r="K358" t="s">
        <v>23</v>
      </c>
      <c r="L358" s="19">
        <v>1</v>
      </c>
      <c r="M358" s="20">
        <v>1783000</v>
      </c>
      <c r="N358" s="20">
        <v>1484800</v>
      </c>
      <c r="O358" s="20">
        <f t="shared" si="17"/>
        <v>298200</v>
      </c>
      <c r="P358" t="s">
        <v>24</v>
      </c>
    </row>
    <row r="359" spans="1:16">
      <c r="A359" t="s">
        <v>439</v>
      </c>
      <c r="B359" s="18">
        <v>45954</v>
      </c>
      <c r="C359" s="19">
        <f t="shared" si="15"/>
        <v>2025</v>
      </c>
      <c r="D359" s="19" t="str">
        <f t="shared" si="16"/>
        <v>Oct</v>
      </c>
      <c r="E359" t="s">
        <v>26</v>
      </c>
      <c r="F359" t="s">
        <v>65</v>
      </c>
      <c r="G359" t="s">
        <v>66</v>
      </c>
      <c r="H359" t="s">
        <v>67</v>
      </c>
      <c r="I359" t="s">
        <v>56</v>
      </c>
      <c r="J359" t="s">
        <v>57</v>
      </c>
      <c r="K359" t="s">
        <v>58</v>
      </c>
      <c r="L359" s="19">
        <v>1</v>
      </c>
      <c r="M359" s="20">
        <v>1244000</v>
      </c>
      <c r="N359" s="20">
        <v>1010700</v>
      </c>
      <c r="O359" s="20">
        <f t="shared" si="17"/>
        <v>233300</v>
      </c>
      <c r="P359" t="s">
        <v>37</v>
      </c>
    </row>
    <row r="360" spans="1:16">
      <c r="A360" t="s">
        <v>440</v>
      </c>
      <c r="B360" s="18">
        <v>45955</v>
      </c>
      <c r="C360" s="19">
        <f t="shared" si="15"/>
        <v>2025</v>
      </c>
      <c r="D360" s="19" t="str">
        <f t="shared" si="16"/>
        <v>Oct</v>
      </c>
      <c r="E360" t="s">
        <v>26</v>
      </c>
      <c r="F360" t="s">
        <v>27</v>
      </c>
      <c r="G360" t="s">
        <v>28</v>
      </c>
      <c r="H360" t="s">
        <v>29</v>
      </c>
      <c r="I360" t="s">
        <v>48</v>
      </c>
      <c r="J360" t="s">
        <v>49</v>
      </c>
      <c r="K360" t="s">
        <v>42</v>
      </c>
      <c r="L360" s="19">
        <v>1</v>
      </c>
      <c r="M360" s="20">
        <v>1274000</v>
      </c>
      <c r="N360" s="20">
        <v>1039900</v>
      </c>
      <c r="O360" s="20">
        <f t="shared" si="17"/>
        <v>234100</v>
      </c>
      <c r="P360" t="s">
        <v>31</v>
      </c>
    </row>
    <row r="361" spans="1:16">
      <c r="A361" t="s">
        <v>441</v>
      </c>
      <c r="B361" s="18">
        <v>45956</v>
      </c>
      <c r="C361" s="19">
        <f t="shared" si="15"/>
        <v>2025</v>
      </c>
      <c r="D361" s="19" t="str">
        <f t="shared" si="16"/>
        <v>Oct</v>
      </c>
      <c r="E361" t="s">
        <v>33</v>
      </c>
      <c r="F361" t="s">
        <v>34</v>
      </c>
      <c r="G361" t="s">
        <v>34</v>
      </c>
      <c r="H361" t="s">
        <v>35</v>
      </c>
      <c r="I361" t="s">
        <v>40</v>
      </c>
      <c r="J361" t="s">
        <v>41</v>
      </c>
      <c r="K361" t="s">
        <v>42</v>
      </c>
      <c r="L361" s="19">
        <v>1</v>
      </c>
      <c r="M361" s="20">
        <v>1704000</v>
      </c>
      <c r="N361" s="20">
        <v>1363400</v>
      </c>
      <c r="O361" s="20">
        <f t="shared" si="17"/>
        <v>340600</v>
      </c>
      <c r="P361" t="s">
        <v>72</v>
      </c>
    </row>
    <row r="362" spans="1:16">
      <c r="A362" t="s">
        <v>442</v>
      </c>
      <c r="B362" s="18">
        <v>45956</v>
      </c>
      <c r="C362" s="19">
        <f t="shared" si="15"/>
        <v>2025</v>
      </c>
      <c r="D362" s="19" t="str">
        <f t="shared" si="16"/>
        <v>Oct</v>
      </c>
      <c r="E362" t="s">
        <v>26</v>
      </c>
      <c r="F362" t="s">
        <v>65</v>
      </c>
      <c r="G362" t="s">
        <v>66</v>
      </c>
      <c r="H362" t="s">
        <v>67</v>
      </c>
      <c r="I362" t="s">
        <v>30</v>
      </c>
      <c r="J362" t="s">
        <v>22</v>
      </c>
      <c r="K362" t="s">
        <v>23</v>
      </c>
      <c r="L362" s="19">
        <v>1</v>
      </c>
      <c r="M362" s="20">
        <v>1831000</v>
      </c>
      <c r="N362" s="20">
        <v>1483600</v>
      </c>
      <c r="O362" s="20">
        <f t="shared" si="17"/>
        <v>347400</v>
      </c>
      <c r="P362" t="s">
        <v>54</v>
      </c>
    </row>
    <row r="363" spans="1:16">
      <c r="A363" t="s">
        <v>443</v>
      </c>
      <c r="B363" s="18">
        <v>45956</v>
      </c>
      <c r="C363" s="19">
        <f t="shared" si="15"/>
        <v>2025</v>
      </c>
      <c r="D363" s="19" t="str">
        <f t="shared" si="16"/>
        <v>Oct</v>
      </c>
      <c r="E363" t="s">
        <v>17</v>
      </c>
      <c r="F363" t="s">
        <v>51</v>
      </c>
      <c r="G363" t="s">
        <v>52</v>
      </c>
      <c r="H363" t="s">
        <v>70</v>
      </c>
      <c r="I363" t="s">
        <v>63</v>
      </c>
      <c r="J363" t="s">
        <v>41</v>
      </c>
      <c r="K363" t="s">
        <v>58</v>
      </c>
      <c r="L363" s="19">
        <v>1</v>
      </c>
      <c r="M363" s="20">
        <v>1323000</v>
      </c>
      <c r="N363" s="20">
        <v>1140100</v>
      </c>
      <c r="O363" s="20">
        <f t="shared" si="17"/>
        <v>182900</v>
      </c>
      <c r="P363" t="s">
        <v>31</v>
      </c>
    </row>
    <row r="364" spans="1:16">
      <c r="A364" t="s">
        <v>444</v>
      </c>
      <c r="B364" s="18">
        <v>45956</v>
      </c>
      <c r="C364" s="19">
        <f t="shared" si="15"/>
        <v>2025</v>
      </c>
      <c r="D364" s="19" t="str">
        <f t="shared" si="16"/>
        <v>Oct</v>
      </c>
      <c r="E364" t="s">
        <v>17</v>
      </c>
      <c r="F364" t="s">
        <v>51</v>
      </c>
      <c r="G364" t="s">
        <v>52</v>
      </c>
      <c r="H364" t="s">
        <v>53</v>
      </c>
      <c r="I364" t="s">
        <v>40</v>
      </c>
      <c r="J364" t="s">
        <v>41</v>
      </c>
      <c r="K364" t="s">
        <v>42</v>
      </c>
      <c r="L364" s="19">
        <v>1</v>
      </c>
      <c r="M364" s="20">
        <v>1722000</v>
      </c>
      <c r="N364" s="20">
        <v>1379600</v>
      </c>
      <c r="O364" s="20">
        <f t="shared" si="17"/>
        <v>342400</v>
      </c>
      <c r="P364" t="s">
        <v>72</v>
      </c>
    </row>
    <row r="365" spans="1:16">
      <c r="A365" t="s">
        <v>445</v>
      </c>
      <c r="B365" s="18">
        <v>45957</v>
      </c>
      <c r="C365" s="19">
        <f t="shared" si="15"/>
        <v>2025</v>
      </c>
      <c r="D365" s="19" t="str">
        <f t="shared" si="16"/>
        <v>Oct</v>
      </c>
      <c r="E365" t="s">
        <v>26</v>
      </c>
      <c r="F365" t="s">
        <v>27</v>
      </c>
      <c r="G365" t="s">
        <v>28</v>
      </c>
      <c r="H365" t="s">
        <v>39</v>
      </c>
      <c r="I365" t="s">
        <v>56</v>
      </c>
      <c r="J365" t="s">
        <v>57</v>
      </c>
      <c r="K365" t="s">
        <v>58</v>
      </c>
      <c r="L365" s="19">
        <v>1</v>
      </c>
      <c r="M365" s="20">
        <v>1262000</v>
      </c>
      <c r="N365" s="20">
        <v>1099400</v>
      </c>
      <c r="O365" s="20">
        <f t="shared" si="17"/>
        <v>162600</v>
      </c>
      <c r="P365" t="s">
        <v>24</v>
      </c>
    </row>
    <row r="366" spans="1:16">
      <c r="A366" t="s">
        <v>446</v>
      </c>
      <c r="B366" s="18">
        <v>45957</v>
      </c>
      <c r="C366" s="19">
        <f t="shared" si="15"/>
        <v>2025</v>
      </c>
      <c r="D366" s="19" t="str">
        <f t="shared" si="16"/>
        <v>Oct</v>
      </c>
      <c r="E366" t="s">
        <v>17</v>
      </c>
      <c r="F366" t="s">
        <v>18</v>
      </c>
      <c r="G366" t="s">
        <v>19</v>
      </c>
      <c r="H366" t="s">
        <v>74</v>
      </c>
      <c r="I366" t="s">
        <v>71</v>
      </c>
      <c r="J366" t="s">
        <v>49</v>
      </c>
      <c r="K366" t="s">
        <v>58</v>
      </c>
      <c r="L366" s="19">
        <v>1</v>
      </c>
      <c r="M366" s="20">
        <v>1022000</v>
      </c>
      <c r="N366" s="20">
        <v>897900</v>
      </c>
      <c r="O366" s="20">
        <f t="shared" si="17"/>
        <v>124100</v>
      </c>
      <c r="P366" t="s">
        <v>31</v>
      </c>
    </row>
    <row r="367" spans="1:16">
      <c r="A367" t="s">
        <v>447</v>
      </c>
      <c r="B367" s="18">
        <v>45959</v>
      </c>
      <c r="C367" s="19">
        <f t="shared" si="15"/>
        <v>2025</v>
      </c>
      <c r="D367" s="19" t="str">
        <f t="shared" si="16"/>
        <v>Oct</v>
      </c>
      <c r="E367" t="s">
        <v>26</v>
      </c>
      <c r="F367" t="s">
        <v>27</v>
      </c>
      <c r="G367" t="s">
        <v>28</v>
      </c>
      <c r="H367" t="s">
        <v>39</v>
      </c>
      <c r="I367" t="s">
        <v>40</v>
      </c>
      <c r="J367" t="s">
        <v>41</v>
      </c>
      <c r="K367" t="s">
        <v>42</v>
      </c>
      <c r="L367" s="19">
        <v>1</v>
      </c>
      <c r="M367" s="20">
        <v>1689000</v>
      </c>
      <c r="N367" s="20">
        <v>1412800</v>
      </c>
      <c r="O367" s="20">
        <f t="shared" si="17"/>
        <v>276200</v>
      </c>
      <c r="P367" t="s">
        <v>31</v>
      </c>
    </row>
    <row r="368" spans="1:16">
      <c r="A368" t="s">
        <v>448</v>
      </c>
      <c r="B368" s="18">
        <v>45959</v>
      </c>
      <c r="C368" s="19">
        <f t="shared" si="15"/>
        <v>2025</v>
      </c>
      <c r="D368" s="19" t="str">
        <f t="shared" si="16"/>
        <v>Oct</v>
      </c>
      <c r="E368" t="s">
        <v>17</v>
      </c>
      <c r="F368" t="s">
        <v>51</v>
      </c>
      <c r="G368" t="s">
        <v>52</v>
      </c>
      <c r="H368" t="s">
        <v>70</v>
      </c>
      <c r="I368" t="s">
        <v>68</v>
      </c>
      <c r="J368" t="s">
        <v>49</v>
      </c>
      <c r="K368" t="s">
        <v>58</v>
      </c>
      <c r="L368" s="19">
        <v>1</v>
      </c>
      <c r="M368" s="20">
        <v>936000</v>
      </c>
      <c r="N368" s="20">
        <v>787400</v>
      </c>
      <c r="O368" s="20">
        <f t="shared" si="17"/>
        <v>148600</v>
      </c>
      <c r="P368" t="s">
        <v>31</v>
      </c>
    </row>
    <row r="369" spans="1:16">
      <c r="A369" t="s">
        <v>449</v>
      </c>
      <c r="B369" s="18">
        <v>45959</v>
      </c>
      <c r="C369" s="19">
        <f t="shared" si="15"/>
        <v>2025</v>
      </c>
      <c r="D369" s="19" t="str">
        <f t="shared" si="16"/>
        <v>Oct</v>
      </c>
      <c r="E369" t="s">
        <v>26</v>
      </c>
      <c r="F369" t="s">
        <v>27</v>
      </c>
      <c r="G369" t="s">
        <v>28</v>
      </c>
      <c r="H369" t="s">
        <v>39</v>
      </c>
      <c r="I369" t="s">
        <v>56</v>
      </c>
      <c r="J369" t="s">
        <v>57</v>
      </c>
      <c r="K369" t="s">
        <v>58</v>
      </c>
      <c r="L369" s="19">
        <v>1</v>
      </c>
      <c r="M369" s="20">
        <v>1192000</v>
      </c>
      <c r="N369" s="20">
        <v>1039000</v>
      </c>
      <c r="O369" s="20">
        <f t="shared" si="17"/>
        <v>153000</v>
      </c>
      <c r="P369" t="s">
        <v>54</v>
      </c>
    </row>
    <row r="370" spans="1:16">
      <c r="A370" t="s">
        <v>450</v>
      </c>
      <c r="B370" s="18">
        <v>45960</v>
      </c>
      <c r="C370" s="19">
        <f t="shared" si="15"/>
        <v>2025</v>
      </c>
      <c r="D370" s="19" t="str">
        <f t="shared" si="16"/>
        <v>Oct</v>
      </c>
      <c r="E370" t="s">
        <v>17</v>
      </c>
      <c r="F370" t="s">
        <v>51</v>
      </c>
      <c r="G370" t="s">
        <v>98</v>
      </c>
      <c r="H370" t="s">
        <v>99</v>
      </c>
      <c r="I370" t="s">
        <v>40</v>
      </c>
      <c r="J370" t="s">
        <v>41</v>
      </c>
      <c r="K370" t="s">
        <v>42</v>
      </c>
      <c r="L370" s="19">
        <v>1</v>
      </c>
      <c r="M370" s="20">
        <v>1679000</v>
      </c>
      <c r="N370" s="20">
        <v>1361700</v>
      </c>
      <c r="O370" s="20">
        <f t="shared" si="17"/>
        <v>317300</v>
      </c>
      <c r="P370" t="s">
        <v>24</v>
      </c>
    </row>
    <row r="371" spans="1:16">
      <c r="A371" t="s">
        <v>451</v>
      </c>
      <c r="B371" s="18">
        <v>45960</v>
      </c>
      <c r="C371" s="19">
        <f t="shared" si="15"/>
        <v>2025</v>
      </c>
      <c r="D371" s="19" t="str">
        <f t="shared" si="16"/>
        <v>Oct</v>
      </c>
      <c r="E371" t="s">
        <v>26</v>
      </c>
      <c r="F371" t="s">
        <v>27</v>
      </c>
      <c r="G371" t="s">
        <v>28</v>
      </c>
      <c r="H371" t="s">
        <v>29</v>
      </c>
      <c r="I371" t="s">
        <v>40</v>
      </c>
      <c r="J371" t="s">
        <v>41</v>
      </c>
      <c r="K371" t="s">
        <v>42</v>
      </c>
      <c r="L371" s="19">
        <v>1</v>
      </c>
      <c r="M371" s="20">
        <v>1693000</v>
      </c>
      <c r="N371" s="20">
        <v>1375600</v>
      </c>
      <c r="O371" s="20">
        <f t="shared" si="17"/>
        <v>317400</v>
      </c>
      <c r="P371" t="s">
        <v>78</v>
      </c>
    </row>
    <row r="372" spans="1:16">
      <c r="A372" t="s">
        <v>452</v>
      </c>
      <c r="B372" s="18">
        <v>45961</v>
      </c>
      <c r="C372" s="19">
        <f t="shared" si="15"/>
        <v>2025</v>
      </c>
      <c r="D372" s="19" t="str">
        <f t="shared" si="16"/>
        <v>Oct</v>
      </c>
      <c r="E372" t="s">
        <v>17</v>
      </c>
      <c r="F372" t="s">
        <v>18</v>
      </c>
      <c r="G372" t="s">
        <v>60</v>
      </c>
      <c r="H372" t="s">
        <v>61</v>
      </c>
      <c r="I372" t="s">
        <v>56</v>
      </c>
      <c r="J372" t="s">
        <v>57</v>
      </c>
      <c r="K372" t="s">
        <v>58</v>
      </c>
      <c r="L372" s="19">
        <v>1</v>
      </c>
      <c r="M372" s="20">
        <v>1255000</v>
      </c>
      <c r="N372" s="20">
        <v>1019700</v>
      </c>
      <c r="O372" s="20">
        <f t="shared" si="17"/>
        <v>235300</v>
      </c>
      <c r="P372" t="s">
        <v>24</v>
      </c>
    </row>
    <row r="373" spans="1:16">
      <c r="A373" t="s">
        <v>453</v>
      </c>
      <c r="B373" s="18">
        <v>45963</v>
      </c>
      <c r="C373" s="19">
        <f t="shared" si="15"/>
        <v>2025</v>
      </c>
      <c r="D373" s="19" t="str">
        <f t="shared" si="16"/>
        <v>Nov</v>
      </c>
      <c r="E373" t="s">
        <v>26</v>
      </c>
      <c r="F373" t="s">
        <v>131</v>
      </c>
      <c r="G373" t="s">
        <v>132</v>
      </c>
      <c r="H373" t="s">
        <v>133</v>
      </c>
      <c r="I373" t="s">
        <v>63</v>
      </c>
      <c r="J373" t="s">
        <v>41</v>
      </c>
      <c r="K373" t="s">
        <v>58</v>
      </c>
      <c r="L373" s="19">
        <v>2</v>
      </c>
      <c r="M373" s="20">
        <v>2748000</v>
      </c>
      <c r="N373" s="20">
        <v>2215900</v>
      </c>
      <c r="O373" s="20">
        <f t="shared" si="17"/>
        <v>532100</v>
      </c>
      <c r="P373" t="s">
        <v>31</v>
      </c>
    </row>
    <row r="374" spans="1:16">
      <c r="A374" t="s">
        <v>454</v>
      </c>
      <c r="B374" s="18">
        <v>45964</v>
      </c>
      <c r="C374" s="19">
        <f t="shared" si="15"/>
        <v>2025</v>
      </c>
      <c r="D374" s="19" t="str">
        <f t="shared" si="16"/>
        <v>Nov</v>
      </c>
      <c r="E374" t="s">
        <v>33</v>
      </c>
      <c r="F374" t="s">
        <v>34</v>
      </c>
      <c r="G374" t="s">
        <v>34</v>
      </c>
      <c r="H374" t="s">
        <v>35</v>
      </c>
      <c r="I374" t="s">
        <v>68</v>
      </c>
      <c r="J374" t="s">
        <v>49</v>
      </c>
      <c r="K374" t="s">
        <v>58</v>
      </c>
      <c r="L374" s="19">
        <v>2</v>
      </c>
      <c r="M374" s="20">
        <v>1823000</v>
      </c>
      <c r="N374" s="20">
        <v>1512300</v>
      </c>
      <c r="O374" s="20">
        <f t="shared" si="17"/>
        <v>310700</v>
      </c>
      <c r="P374" t="s">
        <v>72</v>
      </c>
    </row>
    <row r="375" spans="1:16">
      <c r="A375" t="s">
        <v>455</v>
      </c>
      <c r="B375" s="18">
        <v>45966</v>
      </c>
      <c r="C375" s="19">
        <f t="shared" si="15"/>
        <v>2025</v>
      </c>
      <c r="D375" s="19" t="str">
        <f t="shared" si="16"/>
        <v>Nov</v>
      </c>
      <c r="E375" t="s">
        <v>17</v>
      </c>
      <c r="F375" t="s">
        <v>18</v>
      </c>
      <c r="G375" t="s">
        <v>19</v>
      </c>
      <c r="H375" t="s">
        <v>74</v>
      </c>
      <c r="I375" t="s">
        <v>68</v>
      </c>
      <c r="J375" t="s">
        <v>49</v>
      </c>
      <c r="K375" t="s">
        <v>58</v>
      </c>
      <c r="L375" s="19">
        <v>1</v>
      </c>
      <c r="M375" s="20">
        <v>919000</v>
      </c>
      <c r="N375" s="20">
        <v>779800</v>
      </c>
      <c r="O375" s="20">
        <f t="shared" si="17"/>
        <v>139200</v>
      </c>
      <c r="P375" t="s">
        <v>31</v>
      </c>
    </row>
    <row r="376" spans="1:16">
      <c r="A376" t="s">
        <v>456</v>
      </c>
      <c r="B376" s="18">
        <v>45966</v>
      </c>
      <c r="C376" s="19">
        <f t="shared" si="15"/>
        <v>2025</v>
      </c>
      <c r="D376" s="19" t="str">
        <f t="shared" si="16"/>
        <v>Nov</v>
      </c>
      <c r="E376" t="s">
        <v>26</v>
      </c>
      <c r="F376" t="s">
        <v>65</v>
      </c>
      <c r="G376" t="s">
        <v>66</v>
      </c>
      <c r="H376" t="s">
        <v>67</v>
      </c>
      <c r="I376" t="s">
        <v>56</v>
      </c>
      <c r="J376" t="s">
        <v>57</v>
      </c>
      <c r="K376" t="s">
        <v>58</v>
      </c>
      <c r="L376" s="19">
        <v>1</v>
      </c>
      <c r="M376" s="20">
        <v>1224000</v>
      </c>
      <c r="N376" s="20">
        <v>1041100</v>
      </c>
      <c r="O376" s="20">
        <f t="shared" si="17"/>
        <v>182900</v>
      </c>
      <c r="P376" t="s">
        <v>78</v>
      </c>
    </row>
    <row r="377" spans="1:16">
      <c r="A377" t="s">
        <v>457</v>
      </c>
      <c r="B377" s="18">
        <v>45966</v>
      </c>
      <c r="C377" s="19">
        <f t="shared" si="15"/>
        <v>2025</v>
      </c>
      <c r="D377" s="19" t="str">
        <f t="shared" si="16"/>
        <v>Nov</v>
      </c>
      <c r="E377" t="s">
        <v>17</v>
      </c>
      <c r="F377" t="s">
        <v>51</v>
      </c>
      <c r="G377" t="s">
        <v>52</v>
      </c>
      <c r="H377" t="s">
        <v>53</v>
      </c>
      <c r="I377" t="s">
        <v>71</v>
      </c>
      <c r="J377" t="s">
        <v>49</v>
      </c>
      <c r="K377" t="s">
        <v>58</v>
      </c>
      <c r="L377" s="19">
        <v>1</v>
      </c>
      <c r="M377" s="20">
        <v>1029000</v>
      </c>
      <c r="N377" s="20">
        <v>895100</v>
      </c>
      <c r="O377" s="20">
        <f t="shared" si="17"/>
        <v>133900</v>
      </c>
      <c r="P377" t="s">
        <v>31</v>
      </c>
    </row>
    <row r="378" spans="1:16">
      <c r="A378" t="s">
        <v>458</v>
      </c>
      <c r="B378" s="18">
        <v>45967</v>
      </c>
      <c r="C378" s="19">
        <f t="shared" si="15"/>
        <v>2025</v>
      </c>
      <c r="D378" s="19" t="str">
        <f t="shared" si="16"/>
        <v>Nov</v>
      </c>
      <c r="E378" t="s">
        <v>26</v>
      </c>
      <c r="F378" t="s">
        <v>27</v>
      </c>
      <c r="G378" t="s">
        <v>28</v>
      </c>
      <c r="H378" t="s">
        <v>39</v>
      </c>
      <c r="I378" t="s">
        <v>30</v>
      </c>
      <c r="J378" t="s">
        <v>22</v>
      </c>
      <c r="K378" t="s">
        <v>23</v>
      </c>
      <c r="L378" s="19">
        <v>1</v>
      </c>
      <c r="M378" s="20">
        <v>1727000</v>
      </c>
      <c r="N378" s="20">
        <v>1490800</v>
      </c>
      <c r="O378" s="20">
        <f t="shared" si="17"/>
        <v>236200</v>
      </c>
      <c r="P378" t="s">
        <v>78</v>
      </c>
    </row>
    <row r="379" spans="1:16">
      <c r="A379" t="s">
        <v>459</v>
      </c>
      <c r="B379" s="18">
        <v>45968</v>
      </c>
      <c r="C379" s="19">
        <f t="shared" si="15"/>
        <v>2025</v>
      </c>
      <c r="D379" s="19" t="str">
        <f t="shared" si="16"/>
        <v>Nov</v>
      </c>
      <c r="E379" t="s">
        <v>17</v>
      </c>
      <c r="F379" t="s">
        <v>51</v>
      </c>
      <c r="G379" t="s">
        <v>52</v>
      </c>
      <c r="H379" t="s">
        <v>53</v>
      </c>
      <c r="I379" t="s">
        <v>56</v>
      </c>
      <c r="J379" t="s">
        <v>57</v>
      </c>
      <c r="K379" t="s">
        <v>58</v>
      </c>
      <c r="L379" s="19">
        <v>1</v>
      </c>
      <c r="M379" s="20">
        <v>1238000</v>
      </c>
      <c r="N379" s="20">
        <v>1036300</v>
      </c>
      <c r="O379" s="20">
        <f t="shared" si="17"/>
        <v>201700</v>
      </c>
      <c r="P379" t="s">
        <v>31</v>
      </c>
    </row>
    <row r="380" spans="1:16">
      <c r="A380" t="s">
        <v>460</v>
      </c>
      <c r="B380" s="18">
        <v>45970</v>
      </c>
      <c r="C380" s="19">
        <f t="shared" si="15"/>
        <v>2025</v>
      </c>
      <c r="D380" s="19" t="str">
        <f t="shared" si="16"/>
        <v>Nov</v>
      </c>
      <c r="E380" t="s">
        <v>17</v>
      </c>
      <c r="F380" t="s">
        <v>51</v>
      </c>
      <c r="G380" t="s">
        <v>52</v>
      </c>
      <c r="H380" t="s">
        <v>53</v>
      </c>
      <c r="I380" t="s">
        <v>121</v>
      </c>
      <c r="J380" t="s">
        <v>57</v>
      </c>
      <c r="K380" t="s">
        <v>42</v>
      </c>
      <c r="L380" s="19">
        <v>1</v>
      </c>
      <c r="M380" s="20">
        <v>1546000</v>
      </c>
      <c r="N380" s="20">
        <v>1300600</v>
      </c>
      <c r="O380" s="20">
        <f t="shared" si="17"/>
        <v>245400</v>
      </c>
      <c r="P380" t="s">
        <v>24</v>
      </c>
    </row>
    <row r="381" spans="1:16">
      <c r="A381" t="s">
        <v>461</v>
      </c>
      <c r="B381" s="18">
        <v>45970</v>
      </c>
      <c r="C381" s="19">
        <f t="shared" si="15"/>
        <v>2025</v>
      </c>
      <c r="D381" s="19" t="str">
        <f t="shared" si="16"/>
        <v>Nov</v>
      </c>
      <c r="E381" t="s">
        <v>33</v>
      </c>
      <c r="F381" t="s">
        <v>34</v>
      </c>
      <c r="G381" t="s">
        <v>34</v>
      </c>
      <c r="H381" t="s">
        <v>35</v>
      </c>
      <c r="I381" t="s">
        <v>48</v>
      </c>
      <c r="J381" t="s">
        <v>49</v>
      </c>
      <c r="K381" t="s">
        <v>42</v>
      </c>
      <c r="L381" s="19">
        <v>1</v>
      </c>
      <c r="M381" s="20">
        <v>1279000</v>
      </c>
      <c r="N381" s="20">
        <v>1059600</v>
      </c>
      <c r="O381" s="20">
        <f t="shared" si="17"/>
        <v>219400</v>
      </c>
      <c r="P381" t="s">
        <v>31</v>
      </c>
    </row>
    <row r="382" spans="1:16">
      <c r="A382" t="s">
        <v>462</v>
      </c>
      <c r="B382" s="18">
        <v>45972</v>
      </c>
      <c r="C382" s="19">
        <f t="shared" si="15"/>
        <v>2025</v>
      </c>
      <c r="D382" s="19" t="str">
        <f t="shared" si="16"/>
        <v>Nov</v>
      </c>
      <c r="E382" t="s">
        <v>17</v>
      </c>
      <c r="F382" t="s">
        <v>51</v>
      </c>
      <c r="G382" t="s">
        <v>52</v>
      </c>
      <c r="H382" t="s">
        <v>53</v>
      </c>
      <c r="I382" t="s">
        <v>71</v>
      </c>
      <c r="J382" t="s">
        <v>49</v>
      </c>
      <c r="K382" t="s">
        <v>58</v>
      </c>
      <c r="L382" s="19">
        <v>1</v>
      </c>
      <c r="M382" s="20">
        <v>970000</v>
      </c>
      <c r="N382" s="20">
        <v>791600</v>
      </c>
      <c r="O382" s="20">
        <f t="shared" si="17"/>
        <v>178400</v>
      </c>
      <c r="P382" t="s">
        <v>31</v>
      </c>
    </row>
    <row r="383" spans="1:16">
      <c r="A383" t="s">
        <v>463</v>
      </c>
      <c r="B383" s="18">
        <v>45972</v>
      </c>
      <c r="C383" s="19">
        <f t="shared" si="15"/>
        <v>2025</v>
      </c>
      <c r="D383" s="19" t="str">
        <f t="shared" si="16"/>
        <v>Nov</v>
      </c>
      <c r="E383" t="s">
        <v>26</v>
      </c>
      <c r="F383" t="s">
        <v>27</v>
      </c>
      <c r="G383" t="s">
        <v>28</v>
      </c>
      <c r="H383" t="s">
        <v>39</v>
      </c>
      <c r="I383" t="s">
        <v>121</v>
      </c>
      <c r="J383" t="s">
        <v>57</v>
      </c>
      <c r="K383" t="s">
        <v>42</v>
      </c>
      <c r="L383" s="19">
        <v>1</v>
      </c>
      <c r="M383" s="20">
        <v>1567000</v>
      </c>
      <c r="N383" s="20">
        <v>1335900</v>
      </c>
      <c r="O383" s="20">
        <f t="shared" si="17"/>
        <v>231100</v>
      </c>
      <c r="P383" t="s">
        <v>31</v>
      </c>
    </row>
    <row r="384" spans="1:16">
      <c r="A384" t="s">
        <v>464</v>
      </c>
      <c r="B384" s="18">
        <v>45972</v>
      </c>
      <c r="C384" s="19">
        <f t="shared" si="15"/>
        <v>2025</v>
      </c>
      <c r="D384" s="19" t="str">
        <f t="shared" si="16"/>
        <v>Nov</v>
      </c>
      <c r="E384" t="s">
        <v>17</v>
      </c>
      <c r="F384" t="s">
        <v>51</v>
      </c>
      <c r="G384" t="s">
        <v>52</v>
      </c>
      <c r="H384" t="s">
        <v>70</v>
      </c>
      <c r="I384" t="s">
        <v>71</v>
      </c>
      <c r="J384" t="s">
        <v>49</v>
      </c>
      <c r="K384" t="s">
        <v>58</v>
      </c>
      <c r="L384" s="19">
        <v>1</v>
      </c>
      <c r="M384" s="20">
        <v>1025000</v>
      </c>
      <c r="N384" s="20">
        <v>842900</v>
      </c>
      <c r="O384" s="20">
        <f t="shared" si="17"/>
        <v>182100</v>
      </c>
      <c r="P384" t="s">
        <v>24</v>
      </c>
    </row>
    <row r="385" spans="1:16">
      <c r="A385" t="s">
        <v>465</v>
      </c>
      <c r="B385" s="18">
        <v>45973</v>
      </c>
      <c r="C385" s="19">
        <f t="shared" si="15"/>
        <v>2025</v>
      </c>
      <c r="D385" s="19" t="str">
        <f t="shared" si="16"/>
        <v>Nov</v>
      </c>
      <c r="E385" t="s">
        <v>33</v>
      </c>
      <c r="F385" t="s">
        <v>34</v>
      </c>
      <c r="G385" t="s">
        <v>34</v>
      </c>
      <c r="H385" t="s">
        <v>35</v>
      </c>
      <c r="I385" t="s">
        <v>68</v>
      </c>
      <c r="J385" t="s">
        <v>49</v>
      </c>
      <c r="K385" t="s">
        <v>58</v>
      </c>
      <c r="L385" s="19">
        <v>2</v>
      </c>
      <c r="M385" s="20">
        <v>1891000</v>
      </c>
      <c r="N385" s="20">
        <v>1551500</v>
      </c>
      <c r="O385" s="20">
        <f t="shared" si="17"/>
        <v>339500</v>
      </c>
      <c r="P385" t="s">
        <v>24</v>
      </c>
    </row>
    <row r="386" spans="1:16">
      <c r="A386" t="s">
        <v>466</v>
      </c>
      <c r="B386" s="18">
        <v>45973</v>
      </c>
      <c r="C386" s="19">
        <f t="shared" ref="C386:C449" si="18">YEAR(B386)</f>
        <v>2025</v>
      </c>
      <c r="D386" s="19" t="str">
        <f t="shared" ref="D386:D449" si="19">CHOOSE(MONTH(B386),"Jan","Feb","Mar","Apr","May","Jun","Jul","Aug","Sep","Oct","Nov","Dec")</f>
        <v>Nov</v>
      </c>
      <c r="E386" t="s">
        <v>33</v>
      </c>
      <c r="F386" t="s">
        <v>34</v>
      </c>
      <c r="G386" t="s">
        <v>34</v>
      </c>
      <c r="H386" t="s">
        <v>102</v>
      </c>
      <c r="I386" t="s">
        <v>56</v>
      </c>
      <c r="J386" t="s">
        <v>57</v>
      </c>
      <c r="K386" t="s">
        <v>58</v>
      </c>
      <c r="L386" s="19">
        <v>1</v>
      </c>
      <c r="M386" s="20">
        <v>1226000</v>
      </c>
      <c r="N386" s="20">
        <v>1023400</v>
      </c>
      <c r="O386" s="20">
        <f t="shared" ref="O386:O449" si="20">M386-N386</f>
        <v>202600</v>
      </c>
      <c r="P386" t="s">
        <v>24</v>
      </c>
    </row>
    <row r="387" spans="1:16">
      <c r="A387" t="s">
        <v>467</v>
      </c>
      <c r="B387" s="18">
        <v>45973</v>
      </c>
      <c r="C387" s="19">
        <f t="shared" si="18"/>
        <v>2025</v>
      </c>
      <c r="D387" s="19" t="str">
        <f t="shared" si="19"/>
        <v>Nov</v>
      </c>
      <c r="E387" t="s">
        <v>33</v>
      </c>
      <c r="F387" t="s">
        <v>81</v>
      </c>
      <c r="G387" t="s">
        <v>82</v>
      </c>
      <c r="H387" t="s">
        <v>83</v>
      </c>
      <c r="I387" t="s">
        <v>68</v>
      </c>
      <c r="J387" t="s">
        <v>49</v>
      </c>
      <c r="K387" t="s">
        <v>58</v>
      </c>
      <c r="L387" s="19">
        <v>1</v>
      </c>
      <c r="M387" s="20">
        <v>939000</v>
      </c>
      <c r="N387" s="20">
        <v>803700</v>
      </c>
      <c r="O387" s="20">
        <f t="shared" si="20"/>
        <v>135300</v>
      </c>
      <c r="P387" t="s">
        <v>54</v>
      </c>
    </row>
    <row r="388" spans="1:16">
      <c r="A388" t="s">
        <v>468</v>
      </c>
      <c r="B388" s="18">
        <v>45974</v>
      </c>
      <c r="C388" s="19">
        <f t="shared" si="18"/>
        <v>2025</v>
      </c>
      <c r="D388" s="19" t="str">
        <f t="shared" si="19"/>
        <v>Nov</v>
      </c>
      <c r="E388" t="s">
        <v>26</v>
      </c>
      <c r="F388" t="s">
        <v>131</v>
      </c>
      <c r="G388" t="s">
        <v>132</v>
      </c>
      <c r="H388" t="s">
        <v>133</v>
      </c>
      <c r="I388" t="s">
        <v>71</v>
      </c>
      <c r="J388" t="s">
        <v>49</v>
      </c>
      <c r="K388" t="s">
        <v>58</v>
      </c>
      <c r="L388" s="19">
        <v>1</v>
      </c>
      <c r="M388" s="20">
        <v>1041000</v>
      </c>
      <c r="N388" s="20">
        <v>854400</v>
      </c>
      <c r="O388" s="20">
        <f t="shared" si="20"/>
        <v>186600</v>
      </c>
      <c r="P388" t="s">
        <v>54</v>
      </c>
    </row>
    <row r="389" spans="1:16">
      <c r="A389" t="s">
        <v>469</v>
      </c>
      <c r="B389" s="18">
        <v>45974</v>
      </c>
      <c r="C389" s="19">
        <f t="shared" si="18"/>
        <v>2025</v>
      </c>
      <c r="D389" s="19" t="str">
        <f t="shared" si="19"/>
        <v>Nov</v>
      </c>
      <c r="E389" t="s">
        <v>26</v>
      </c>
      <c r="F389" t="s">
        <v>27</v>
      </c>
      <c r="G389" t="s">
        <v>28</v>
      </c>
      <c r="H389" t="s">
        <v>39</v>
      </c>
      <c r="I389" t="s">
        <v>56</v>
      </c>
      <c r="J389" t="s">
        <v>57</v>
      </c>
      <c r="K389" t="s">
        <v>58</v>
      </c>
      <c r="L389" s="19">
        <v>1</v>
      </c>
      <c r="M389" s="20">
        <v>1238000</v>
      </c>
      <c r="N389" s="20">
        <v>1055000</v>
      </c>
      <c r="O389" s="20">
        <f t="shared" si="20"/>
        <v>183000</v>
      </c>
      <c r="P389" t="s">
        <v>72</v>
      </c>
    </row>
    <row r="390" spans="1:16">
      <c r="A390" t="s">
        <v>470</v>
      </c>
      <c r="B390" s="18">
        <v>45974</v>
      </c>
      <c r="C390" s="19">
        <f t="shared" si="18"/>
        <v>2025</v>
      </c>
      <c r="D390" s="19" t="str">
        <f t="shared" si="19"/>
        <v>Nov</v>
      </c>
      <c r="E390" t="s">
        <v>17</v>
      </c>
      <c r="F390" t="s">
        <v>51</v>
      </c>
      <c r="G390" t="s">
        <v>52</v>
      </c>
      <c r="H390" t="s">
        <v>70</v>
      </c>
      <c r="I390" t="s">
        <v>121</v>
      </c>
      <c r="J390" t="s">
        <v>57</v>
      </c>
      <c r="K390" t="s">
        <v>42</v>
      </c>
      <c r="L390" s="19">
        <v>1</v>
      </c>
      <c r="M390" s="20">
        <v>1634000</v>
      </c>
      <c r="N390" s="20">
        <v>1339300</v>
      </c>
      <c r="O390" s="20">
        <f t="shared" si="20"/>
        <v>294700</v>
      </c>
      <c r="P390" t="s">
        <v>31</v>
      </c>
    </row>
    <row r="391" spans="1:16">
      <c r="A391" t="s">
        <v>471</v>
      </c>
      <c r="B391" s="18">
        <v>45975</v>
      </c>
      <c r="C391" s="19">
        <f t="shared" si="18"/>
        <v>2025</v>
      </c>
      <c r="D391" s="19" t="str">
        <f t="shared" si="19"/>
        <v>Nov</v>
      </c>
      <c r="E391" t="s">
        <v>33</v>
      </c>
      <c r="F391" t="s">
        <v>81</v>
      </c>
      <c r="G391" t="s">
        <v>82</v>
      </c>
      <c r="H391" t="s">
        <v>83</v>
      </c>
      <c r="I391" t="s">
        <v>68</v>
      </c>
      <c r="J391" t="s">
        <v>49</v>
      </c>
      <c r="K391" t="s">
        <v>58</v>
      </c>
      <c r="L391" s="19">
        <v>1</v>
      </c>
      <c r="M391" s="20">
        <v>915000</v>
      </c>
      <c r="N391" s="20">
        <v>754100</v>
      </c>
      <c r="O391" s="20">
        <f t="shared" si="20"/>
        <v>160900</v>
      </c>
      <c r="P391" t="s">
        <v>24</v>
      </c>
    </row>
    <row r="392" spans="1:16">
      <c r="A392" t="s">
        <v>472</v>
      </c>
      <c r="B392" s="18">
        <v>45975</v>
      </c>
      <c r="C392" s="19">
        <f t="shared" si="18"/>
        <v>2025</v>
      </c>
      <c r="D392" s="19" t="str">
        <f t="shared" si="19"/>
        <v>Nov</v>
      </c>
      <c r="E392" t="s">
        <v>17</v>
      </c>
      <c r="F392" t="s">
        <v>18</v>
      </c>
      <c r="G392" t="s">
        <v>60</v>
      </c>
      <c r="H392" t="s">
        <v>61</v>
      </c>
      <c r="I392" t="s">
        <v>40</v>
      </c>
      <c r="J392" t="s">
        <v>41</v>
      </c>
      <c r="K392" t="s">
        <v>42</v>
      </c>
      <c r="L392" s="19">
        <v>1</v>
      </c>
      <c r="M392" s="20">
        <v>1750000</v>
      </c>
      <c r="N392" s="20">
        <v>1427600</v>
      </c>
      <c r="O392" s="20">
        <f t="shared" si="20"/>
        <v>322400</v>
      </c>
      <c r="P392" t="s">
        <v>78</v>
      </c>
    </row>
    <row r="393" spans="1:16">
      <c r="A393" t="s">
        <v>473</v>
      </c>
      <c r="B393" s="18">
        <v>45975</v>
      </c>
      <c r="C393" s="19">
        <f t="shared" si="18"/>
        <v>2025</v>
      </c>
      <c r="D393" s="19" t="str">
        <f t="shared" si="19"/>
        <v>Nov</v>
      </c>
      <c r="E393" t="s">
        <v>26</v>
      </c>
      <c r="F393" t="s">
        <v>27</v>
      </c>
      <c r="G393" t="s">
        <v>28</v>
      </c>
      <c r="H393" t="s">
        <v>29</v>
      </c>
      <c r="I393" t="s">
        <v>68</v>
      </c>
      <c r="J393" t="s">
        <v>49</v>
      </c>
      <c r="K393" t="s">
        <v>58</v>
      </c>
      <c r="L393" s="19">
        <v>1</v>
      </c>
      <c r="M393" s="20">
        <v>938000</v>
      </c>
      <c r="N393" s="20">
        <v>752800</v>
      </c>
      <c r="O393" s="20">
        <f t="shared" si="20"/>
        <v>185200</v>
      </c>
      <c r="P393" t="s">
        <v>54</v>
      </c>
    </row>
    <row r="394" spans="1:16">
      <c r="A394" t="s">
        <v>474</v>
      </c>
      <c r="B394" s="18">
        <v>45978</v>
      </c>
      <c r="C394" s="19">
        <f t="shared" si="18"/>
        <v>2025</v>
      </c>
      <c r="D394" s="19" t="str">
        <f t="shared" si="19"/>
        <v>Nov</v>
      </c>
      <c r="E394" t="s">
        <v>17</v>
      </c>
      <c r="F394" t="s">
        <v>51</v>
      </c>
      <c r="G394" t="s">
        <v>52</v>
      </c>
      <c r="H394" t="s">
        <v>70</v>
      </c>
      <c r="I394" t="s">
        <v>71</v>
      </c>
      <c r="J394" t="s">
        <v>49</v>
      </c>
      <c r="K394" t="s">
        <v>58</v>
      </c>
      <c r="L394" s="19">
        <v>1</v>
      </c>
      <c r="M394" s="20">
        <v>1011000</v>
      </c>
      <c r="N394" s="20">
        <v>840500</v>
      </c>
      <c r="O394" s="20">
        <f t="shared" si="20"/>
        <v>170500</v>
      </c>
      <c r="P394" t="s">
        <v>24</v>
      </c>
    </row>
    <row r="395" spans="1:16">
      <c r="A395" t="s">
        <v>475</v>
      </c>
      <c r="B395" s="18">
        <v>45978</v>
      </c>
      <c r="C395" s="19">
        <f t="shared" si="18"/>
        <v>2025</v>
      </c>
      <c r="D395" s="19" t="str">
        <f t="shared" si="19"/>
        <v>Nov</v>
      </c>
      <c r="E395" t="s">
        <v>44</v>
      </c>
      <c r="F395" t="s">
        <v>118</v>
      </c>
      <c r="G395" t="s">
        <v>119</v>
      </c>
      <c r="H395" t="s">
        <v>120</v>
      </c>
      <c r="I395" t="s">
        <v>21</v>
      </c>
      <c r="J395" t="s">
        <v>22</v>
      </c>
      <c r="K395" t="s">
        <v>23</v>
      </c>
      <c r="L395" s="19">
        <v>1</v>
      </c>
      <c r="M395" s="20">
        <v>1895000</v>
      </c>
      <c r="N395" s="20">
        <v>1661700</v>
      </c>
      <c r="O395" s="20">
        <f t="shared" si="20"/>
        <v>233300</v>
      </c>
      <c r="P395" t="s">
        <v>72</v>
      </c>
    </row>
    <row r="396" spans="1:16">
      <c r="A396" t="s">
        <v>476</v>
      </c>
      <c r="B396" s="18">
        <v>45978</v>
      </c>
      <c r="C396" s="19">
        <f t="shared" si="18"/>
        <v>2025</v>
      </c>
      <c r="D396" s="19" t="str">
        <f t="shared" si="19"/>
        <v>Nov</v>
      </c>
      <c r="E396" t="s">
        <v>17</v>
      </c>
      <c r="F396" t="s">
        <v>18</v>
      </c>
      <c r="G396" t="s">
        <v>19</v>
      </c>
      <c r="H396" t="s">
        <v>74</v>
      </c>
      <c r="I396" t="s">
        <v>121</v>
      </c>
      <c r="J396" t="s">
        <v>57</v>
      </c>
      <c r="K396" t="s">
        <v>42</v>
      </c>
      <c r="L396" s="19">
        <v>1</v>
      </c>
      <c r="M396" s="20">
        <v>1611000</v>
      </c>
      <c r="N396" s="20">
        <v>1322900</v>
      </c>
      <c r="O396" s="20">
        <f t="shared" si="20"/>
        <v>288100</v>
      </c>
      <c r="P396" t="s">
        <v>24</v>
      </c>
    </row>
    <row r="397" spans="1:16">
      <c r="A397" t="s">
        <v>477</v>
      </c>
      <c r="B397" s="18">
        <v>45978</v>
      </c>
      <c r="C397" s="19">
        <f t="shared" si="18"/>
        <v>2025</v>
      </c>
      <c r="D397" s="19" t="str">
        <f t="shared" si="19"/>
        <v>Nov</v>
      </c>
      <c r="E397" t="s">
        <v>26</v>
      </c>
      <c r="F397" t="s">
        <v>27</v>
      </c>
      <c r="G397" t="s">
        <v>28</v>
      </c>
      <c r="H397" t="s">
        <v>39</v>
      </c>
      <c r="I397" t="s">
        <v>30</v>
      </c>
      <c r="J397" t="s">
        <v>22</v>
      </c>
      <c r="K397" t="s">
        <v>23</v>
      </c>
      <c r="L397" s="19">
        <v>1</v>
      </c>
      <c r="M397" s="20">
        <v>1803000</v>
      </c>
      <c r="N397" s="20">
        <v>1478500</v>
      </c>
      <c r="O397" s="20">
        <f t="shared" si="20"/>
        <v>324500</v>
      </c>
      <c r="P397" t="s">
        <v>54</v>
      </c>
    </row>
    <row r="398" spans="1:16">
      <c r="A398" t="s">
        <v>478</v>
      </c>
      <c r="B398" s="18">
        <v>45979</v>
      </c>
      <c r="C398" s="19">
        <f t="shared" si="18"/>
        <v>2025</v>
      </c>
      <c r="D398" s="19" t="str">
        <f t="shared" si="19"/>
        <v>Nov</v>
      </c>
      <c r="E398" t="s">
        <v>17</v>
      </c>
      <c r="F398" t="s">
        <v>51</v>
      </c>
      <c r="G398" t="s">
        <v>52</v>
      </c>
      <c r="H398" t="s">
        <v>53</v>
      </c>
      <c r="I398" t="s">
        <v>21</v>
      </c>
      <c r="J398" t="s">
        <v>22</v>
      </c>
      <c r="K398" t="s">
        <v>23</v>
      </c>
      <c r="L398" s="19">
        <v>1</v>
      </c>
      <c r="M398" s="20">
        <v>1826000</v>
      </c>
      <c r="N398" s="20">
        <v>1507200</v>
      </c>
      <c r="O398" s="20">
        <f t="shared" si="20"/>
        <v>318800</v>
      </c>
      <c r="P398" t="s">
        <v>54</v>
      </c>
    </row>
    <row r="399" spans="1:16">
      <c r="A399" t="s">
        <v>479</v>
      </c>
      <c r="B399" s="18">
        <v>45980</v>
      </c>
      <c r="C399" s="19">
        <f t="shared" si="18"/>
        <v>2025</v>
      </c>
      <c r="D399" s="19" t="str">
        <f t="shared" si="19"/>
        <v>Nov</v>
      </c>
      <c r="E399" t="s">
        <v>17</v>
      </c>
      <c r="F399" t="s">
        <v>18</v>
      </c>
      <c r="G399" t="s">
        <v>60</v>
      </c>
      <c r="H399" t="s">
        <v>61</v>
      </c>
      <c r="I399" t="s">
        <v>21</v>
      </c>
      <c r="J399" t="s">
        <v>22</v>
      </c>
      <c r="K399" t="s">
        <v>23</v>
      </c>
      <c r="L399" s="19">
        <v>1</v>
      </c>
      <c r="M399" s="20">
        <v>1789000</v>
      </c>
      <c r="N399" s="20">
        <v>1501400</v>
      </c>
      <c r="O399" s="20">
        <f t="shared" si="20"/>
        <v>287600</v>
      </c>
      <c r="P399" t="s">
        <v>72</v>
      </c>
    </row>
    <row r="400" spans="1:16">
      <c r="A400" t="s">
        <v>480</v>
      </c>
      <c r="B400" s="18">
        <v>45981</v>
      </c>
      <c r="C400" s="19">
        <f t="shared" si="18"/>
        <v>2025</v>
      </c>
      <c r="D400" s="19" t="str">
        <f t="shared" si="19"/>
        <v>Nov</v>
      </c>
      <c r="E400" t="s">
        <v>17</v>
      </c>
      <c r="F400" t="s">
        <v>18</v>
      </c>
      <c r="G400" t="s">
        <v>19</v>
      </c>
      <c r="H400" t="s">
        <v>74</v>
      </c>
      <c r="I400" t="s">
        <v>71</v>
      </c>
      <c r="J400" t="s">
        <v>49</v>
      </c>
      <c r="K400" t="s">
        <v>58</v>
      </c>
      <c r="L400" s="19">
        <v>1</v>
      </c>
      <c r="M400" s="20">
        <v>1012000</v>
      </c>
      <c r="N400" s="20">
        <v>844500</v>
      </c>
      <c r="O400" s="20">
        <f t="shared" si="20"/>
        <v>167500</v>
      </c>
      <c r="P400" t="s">
        <v>37</v>
      </c>
    </row>
    <row r="401" spans="1:16">
      <c r="A401" t="s">
        <v>481</v>
      </c>
      <c r="B401" s="18">
        <v>45982</v>
      </c>
      <c r="C401" s="19">
        <f t="shared" si="18"/>
        <v>2025</v>
      </c>
      <c r="D401" s="19" t="str">
        <f t="shared" si="19"/>
        <v>Nov</v>
      </c>
      <c r="E401" t="s">
        <v>17</v>
      </c>
      <c r="F401" t="s">
        <v>18</v>
      </c>
      <c r="G401" t="s">
        <v>60</v>
      </c>
      <c r="H401" t="s">
        <v>61</v>
      </c>
      <c r="I401" t="s">
        <v>30</v>
      </c>
      <c r="J401" t="s">
        <v>22</v>
      </c>
      <c r="K401" t="s">
        <v>23</v>
      </c>
      <c r="L401" s="19">
        <v>1</v>
      </c>
      <c r="M401" s="20">
        <v>1817000</v>
      </c>
      <c r="N401" s="20">
        <v>1497900</v>
      </c>
      <c r="O401" s="20">
        <f t="shared" si="20"/>
        <v>319100</v>
      </c>
      <c r="P401" t="s">
        <v>24</v>
      </c>
    </row>
    <row r="402" spans="1:16">
      <c r="A402" t="s">
        <v>482</v>
      </c>
      <c r="B402" s="18">
        <v>45982</v>
      </c>
      <c r="C402" s="19">
        <f t="shared" si="18"/>
        <v>2025</v>
      </c>
      <c r="D402" s="19" t="str">
        <f t="shared" si="19"/>
        <v>Nov</v>
      </c>
      <c r="E402" t="s">
        <v>33</v>
      </c>
      <c r="F402" t="s">
        <v>92</v>
      </c>
      <c r="G402" t="s">
        <v>93</v>
      </c>
      <c r="H402" t="s">
        <v>94</v>
      </c>
      <c r="I402" t="s">
        <v>71</v>
      </c>
      <c r="J402" t="s">
        <v>49</v>
      </c>
      <c r="K402" t="s">
        <v>58</v>
      </c>
      <c r="L402" s="19">
        <v>1</v>
      </c>
      <c r="M402" s="20">
        <v>980000</v>
      </c>
      <c r="N402" s="20">
        <v>816100</v>
      </c>
      <c r="O402" s="20">
        <f t="shared" si="20"/>
        <v>163900</v>
      </c>
      <c r="P402" t="s">
        <v>54</v>
      </c>
    </row>
    <row r="403" spans="1:16">
      <c r="A403" t="s">
        <v>483</v>
      </c>
      <c r="B403" s="18">
        <v>45983</v>
      </c>
      <c r="C403" s="19">
        <f t="shared" si="18"/>
        <v>2025</v>
      </c>
      <c r="D403" s="19" t="str">
        <f t="shared" si="19"/>
        <v>Nov</v>
      </c>
      <c r="E403" t="s">
        <v>17</v>
      </c>
      <c r="F403" t="s">
        <v>51</v>
      </c>
      <c r="G403" t="s">
        <v>52</v>
      </c>
      <c r="H403" t="s">
        <v>53</v>
      </c>
      <c r="I403" t="s">
        <v>40</v>
      </c>
      <c r="J403" t="s">
        <v>41</v>
      </c>
      <c r="K403" t="s">
        <v>42</v>
      </c>
      <c r="L403" s="19">
        <v>1</v>
      </c>
      <c r="M403" s="20">
        <v>1657000</v>
      </c>
      <c r="N403" s="20">
        <v>1362900</v>
      </c>
      <c r="O403" s="20">
        <f t="shared" si="20"/>
        <v>294100</v>
      </c>
      <c r="P403" t="s">
        <v>54</v>
      </c>
    </row>
    <row r="404" spans="1:16">
      <c r="A404" t="s">
        <v>484</v>
      </c>
      <c r="B404" s="18">
        <v>45983</v>
      </c>
      <c r="C404" s="19">
        <f t="shared" si="18"/>
        <v>2025</v>
      </c>
      <c r="D404" s="19" t="str">
        <f t="shared" si="19"/>
        <v>Nov</v>
      </c>
      <c r="E404" t="s">
        <v>17</v>
      </c>
      <c r="F404" t="s">
        <v>18</v>
      </c>
      <c r="G404" t="s">
        <v>19</v>
      </c>
      <c r="H404" t="s">
        <v>20</v>
      </c>
      <c r="I404" t="s">
        <v>63</v>
      </c>
      <c r="J404" t="s">
        <v>41</v>
      </c>
      <c r="K404" t="s">
        <v>58</v>
      </c>
      <c r="L404" s="19">
        <v>1</v>
      </c>
      <c r="M404" s="20">
        <v>1381000</v>
      </c>
      <c r="N404" s="20">
        <v>1126500</v>
      </c>
      <c r="O404" s="20">
        <f t="shared" si="20"/>
        <v>254500</v>
      </c>
      <c r="P404" t="s">
        <v>54</v>
      </c>
    </row>
    <row r="405" spans="1:16">
      <c r="A405" t="s">
        <v>485</v>
      </c>
      <c r="B405" s="18">
        <v>45983</v>
      </c>
      <c r="C405" s="19">
        <f t="shared" si="18"/>
        <v>2025</v>
      </c>
      <c r="D405" s="19" t="str">
        <f t="shared" si="19"/>
        <v>Nov</v>
      </c>
      <c r="E405" t="s">
        <v>33</v>
      </c>
      <c r="F405" t="s">
        <v>81</v>
      </c>
      <c r="G405" t="s">
        <v>82</v>
      </c>
      <c r="H405" t="s">
        <v>83</v>
      </c>
      <c r="I405" t="s">
        <v>63</v>
      </c>
      <c r="J405" t="s">
        <v>41</v>
      </c>
      <c r="K405" t="s">
        <v>58</v>
      </c>
      <c r="L405" s="19">
        <v>1</v>
      </c>
      <c r="M405" s="20">
        <v>1385000</v>
      </c>
      <c r="N405" s="20">
        <v>1173900</v>
      </c>
      <c r="O405" s="20">
        <f t="shared" si="20"/>
        <v>211100</v>
      </c>
      <c r="P405" t="s">
        <v>78</v>
      </c>
    </row>
    <row r="406" spans="1:16">
      <c r="A406" t="s">
        <v>486</v>
      </c>
      <c r="B406" s="18">
        <v>45983</v>
      </c>
      <c r="C406" s="19">
        <f t="shared" si="18"/>
        <v>2025</v>
      </c>
      <c r="D406" s="19" t="str">
        <f t="shared" si="19"/>
        <v>Nov</v>
      </c>
      <c r="E406" t="s">
        <v>26</v>
      </c>
      <c r="F406" t="s">
        <v>27</v>
      </c>
      <c r="G406" t="s">
        <v>28</v>
      </c>
      <c r="H406" t="s">
        <v>29</v>
      </c>
      <c r="I406" t="s">
        <v>68</v>
      </c>
      <c r="J406" t="s">
        <v>49</v>
      </c>
      <c r="K406" t="s">
        <v>58</v>
      </c>
      <c r="L406" s="19">
        <v>1</v>
      </c>
      <c r="M406" s="20">
        <v>939000</v>
      </c>
      <c r="N406" s="20">
        <v>761700</v>
      </c>
      <c r="O406" s="20">
        <f t="shared" si="20"/>
        <v>177300</v>
      </c>
      <c r="P406" t="s">
        <v>37</v>
      </c>
    </row>
    <row r="407" spans="1:16">
      <c r="A407" t="s">
        <v>487</v>
      </c>
      <c r="B407" s="18">
        <v>45985</v>
      </c>
      <c r="C407" s="19">
        <f t="shared" si="18"/>
        <v>2025</v>
      </c>
      <c r="D407" s="19" t="str">
        <f t="shared" si="19"/>
        <v>Nov</v>
      </c>
      <c r="E407" t="s">
        <v>26</v>
      </c>
      <c r="F407" t="s">
        <v>27</v>
      </c>
      <c r="G407" t="s">
        <v>28</v>
      </c>
      <c r="H407" t="s">
        <v>29</v>
      </c>
      <c r="I407" t="s">
        <v>71</v>
      </c>
      <c r="J407" t="s">
        <v>49</v>
      </c>
      <c r="K407" t="s">
        <v>58</v>
      </c>
      <c r="L407" s="19">
        <v>1</v>
      </c>
      <c r="M407" s="20">
        <v>1034000</v>
      </c>
      <c r="N407" s="20">
        <v>866100</v>
      </c>
      <c r="O407" s="20">
        <f t="shared" si="20"/>
        <v>167900</v>
      </c>
      <c r="P407" t="s">
        <v>31</v>
      </c>
    </row>
    <row r="408" spans="1:16">
      <c r="A408" t="s">
        <v>488</v>
      </c>
      <c r="B408" s="18">
        <v>45985</v>
      </c>
      <c r="C408" s="19">
        <f t="shared" si="18"/>
        <v>2025</v>
      </c>
      <c r="D408" s="19" t="str">
        <f t="shared" si="19"/>
        <v>Nov</v>
      </c>
      <c r="E408" t="s">
        <v>26</v>
      </c>
      <c r="F408" t="s">
        <v>27</v>
      </c>
      <c r="G408" t="s">
        <v>28</v>
      </c>
      <c r="H408" t="s">
        <v>29</v>
      </c>
      <c r="I408" t="s">
        <v>63</v>
      </c>
      <c r="J408" t="s">
        <v>41</v>
      </c>
      <c r="K408" t="s">
        <v>58</v>
      </c>
      <c r="L408" s="19">
        <v>1</v>
      </c>
      <c r="M408" s="20">
        <v>1333000</v>
      </c>
      <c r="N408" s="20">
        <v>1082800</v>
      </c>
      <c r="O408" s="20">
        <f t="shared" si="20"/>
        <v>250200</v>
      </c>
      <c r="P408" t="s">
        <v>24</v>
      </c>
    </row>
    <row r="409" spans="1:16">
      <c r="A409" t="s">
        <v>489</v>
      </c>
      <c r="B409" s="18">
        <v>45985</v>
      </c>
      <c r="C409" s="19">
        <f t="shared" si="18"/>
        <v>2025</v>
      </c>
      <c r="D409" s="19" t="str">
        <f t="shared" si="19"/>
        <v>Nov</v>
      </c>
      <c r="E409" t="s">
        <v>17</v>
      </c>
      <c r="F409" t="s">
        <v>18</v>
      </c>
      <c r="G409" t="s">
        <v>19</v>
      </c>
      <c r="H409" t="s">
        <v>74</v>
      </c>
      <c r="I409" t="s">
        <v>30</v>
      </c>
      <c r="J409" t="s">
        <v>22</v>
      </c>
      <c r="K409" t="s">
        <v>23</v>
      </c>
      <c r="L409" s="19">
        <v>1</v>
      </c>
      <c r="M409" s="20">
        <v>1795000</v>
      </c>
      <c r="N409" s="20">
        <v>1552300</v>
      </c>
      <c r="O409" s="20">
        <f t="shared" si="20"/>
        <v>242700</v>
      </c>
      <c r="P409" t="s">
        <v>72</v>
      </c>
    </row>
    <row r="410" spans="1:16">
      <c r="A410" t="s">
        <v>490</v>
      </c>
      <c r="B410" s="18">
        <v>45986</v>
      </c>
      <c r="C410" s="19">
        <f t="shared" si="18"/>
        <v>2025</v>
      </c>
      <c r="D410" s="19" t="str">
        <f t="shared" si="19"/>
        <v>Nov</v>
      </c>
      <c r="E410" t="s">
        <v>33</v>
      </c>
      <c r="F410" t="s">
        <v>92</v>
      </c>
      <c r="G410" t="s">
        <v>93</v>
      </c>
      <c r="H410" t="s">
        <v>94</v>
      </c>
      <c r="I410" t="s">
        <v>56</v>
      </c>
      <c r="J410" t="s">
        <v>57</v>
      </c>
      <c r="K410" t="s">
        <v>58</v>
      </c>
      <c r="L410" s="19">
        <v>1</v>
      </c>
      <c r="M410" s="20">
        <v>1184000</v>
      </c>
      <c r="N410" s="20">
        <v>1003600</v>
      </c>
      <c r="O410" s="20">
        <f t="shared" si="20"/>
        <v>180400</v>
      </c>
      <c r="P410" t="s">
        <v>31</v>
      </c>
    </row>
    <row r="411" spans="1:16">
      <c r="A411" t="s">
        <v>491</v>
      </c>
      <c r="B411" s="18">
        <v>45986</v>
      </c>
      <c r="C411" s="19">
        <f t="shared" si="18"/>
        <v>2025</v>
      </c>
      <c r="D411" s="19" t="str">
        <f t="shared" si="19"/>
        <v>Nov</v>
      </c>
      <c r="E411" t="s">
        <v>33</v>
      </c>
      <c r="F411" t="s">
        <v>34</v>
      </c>
      <c r="G411" t="s">
        <v>34</v>
      </c>
      <c r="H411" t="s">
        <v>35</v>
      </c>
      <c r="I411" t="s">
        <v>30</v>
      </c>
      <c r="J411" t="s">
        <v>22</v>
      </c>
      <c r="K411" t="s">
        <v>23</v>
      </c>
      <c r="L411" s="19">
        <v>1</v>
      </c>
      <c r="M411" s="20">
        <v>1778000</v>
      </c>
      <c r="N411" s="20">
        <v>1472600</v>
      </c>
      <c r="O411" s="20">
        <f t="shared" si="20"/>
        <v>305400</v>
      </c>
      <c r="P411" t="s">
        <v>54</v>
      </c>
    </row>
    <row r="412" spans="1:16">
      <c r="A412" t="s">
        <v>492</v>
      </c>
      <c r="B412" s="18">
        <v>45987</v>
      </c>
      <c r="C412" s="19">
        <f t="shared" si="18"/>
        <v>2025</v>
      </c>
      <c r="D412" s="19" t="str">
        <f t="shared" si="19"/>
        <v>Nov</v>
      </c>
      <c r="E412" t="s">
        <v>17</v>
      </c>
      <c r="F412" t="s">
        <v>51</v>
      </c>
      <c r="G412" t="s">
        <v>52</v>
      </c>
      <c r="H412" t="s">
        <v>70</v>
      </c>
      <c r="I412" t="s">
        <v>68</v>
      </c>
      <c r="J412" t="s">
        <v>49</v>
      </c>
      <c r="K412" t="s">
        <v>58</v>
      </c>
      <c r="L412" s="19">
        <v>1</v>
      </c>
      <c r="M412" s="20">
        <v>935000</v>
      </c>
      <c r="N412" s="20">
        <v>813300</v>
      </c>
      <c r="O412" s="20">
        <f t="shared" si="20"/>
        <v>121700</v>
      </c>
      <c r="P412" t="s">
        <v>24</v>
      </c>
    </row>
    <row r="413" spans="1:16">
      <c r="A413" t="s">
        <v>493</v>
      </c>
      <c r="B413" s="18">
        <v>45987</v>
      </c>
      <c r="C413" s="19">
        <f t="shared" si="18"/>
        <v>2025</v>
      </c>
      <c r="D413" s="19" t="str">
        <f t="shared" si="19"/>
        <v>Nov</v>
      </c>
      <c r="E413" t="s">
        <v>17</v>
      </c>
      <c r="F413" t="s">
        <v>51</v>
      </c>
      <c r="G413" t="s">
        <v>52</v>
      </c>
      <c r="H413" t="s">
        <v>53</v>
      </c>
      <c r="I413" t="s">
        <v>68</v>
      </c>
      <c r="J413" t="s">
        <v>49</v>
      </c>
      <c r="K413" t="s">
        <v>58</v>
      </c>
      <c r="L413" s="19">
        <v>1</v>
      </c>
      <c r="M413" s="20">
        <v>884000</v>
      </c>
      <c r="N413" s="20">
        <v>766700</v>
      </c>
      <c r="O413" s="20">
        <f t="shared" si="20"/>
        <v>117300</v>
      </c>
      <c r="P413" t="s">
        <v>31</v>
      </c>
    </row>
    <row r="414" spans="1:16">
      <c r="A414" t="s">
        <v>494</v>
      </c>
      <c r="B414" s="18">
        <v>45988</v>
      </c>
      <c r="C414" s="19">
        <f t="shared" si="18"/>
        <v>2025</v>
      </c>
      <c r="D414" s="19" t="str">
        <f t="shared" si="19"/>
        <v>Nov</v>
      </c>
      <c r="E414" t="s">
        <v>17</v>
      </c>
      <c r="F414" t="s">
        <v>18</v>
      </c>
      <c r="G414" t="s">
        <v>19</v>
      </c>
      <c r="H414" t="s">
        <v>20</v>
      </c>
      <c r="I414" t="s">
        <v>71</v>
      </c>
      <c r="J414" t="s">
        <v>49</v>
      </c>
      <c r="K414" t="s">
        <v>58</v>
      </c>
      <c r="L414" s="19">
        <v>1</v>
      </c>
      <c r="M414" s="20">
        <v>997000</v>
      </c>
      <c r="N414" s="20">
        <v>833800</v>
      </c>
      <c r="O414" s="20">
        <f t="shared" si="20"/>
        <v>163200</v>
      </c>
      <c r="P414" t="s">
        <v>31</v>
      </c>
    </row>
    <row r="415" spans="1:16">
      <c r="A415" t="s">
        <v>495</v>
      </c>
      <c r="B415" s="18">
        <v>45988</v>
      </c>
      <c r="C415" s="19">
        <f t="shared" si="18"/>
        <v>2025</v>
      </c>
      <c r="D415" s="19" t="str">
        <f t="shared" si="19"/>
        <v>Nov</v>
      </c>
      <c r="E415" t="s">
        <v>26</v>
      </c>
      <c r="F415" t="s">
        <v>65</v>
      </c>
      <c r="G415" t="s">
        <v>66</v>
      </c>
      <c r="H415" t="s">
        <v>67</v>
      </c>
      <c r="I415" t="s">
        <v>68</v>
      </c>
      <c r="J415" t="s">
        <v>49</v>
      </c>
      <c r="K415" t="s">
        <v>58</v>
      </c>
      <c r="L415" s="19">
        <v>1</v>
      </c>
      <c r="M415" s="20">
        <v>944000</v>
      </c>
      <c r="N415" s="20">
        <v>818300</v>
      </c>
      <c r="O415" s="20">
        <f t="shared" si="20"/>
        <v>125700</v>
      </c>
      <c r="P415" t="s">
        <v>31</v>
      </c>
    </row>
    <row r="416" spans="1:16">
      <c r="A416" t="s">
        <v>496</v>
      </c>
      <c r="B416" s="18">
        <v>45990</v>
      </c>
      <c r="C416" s="19">
        <f t="shared" si="18"/>
        <v>2025</v>
      </c>
      <c r="D416" s="19" t="str">
        <f t="shared" si="19"/>
        <v>Nov</v>
      </c>
      <c r="E416" t="s">
        <v>33</v>
      </c>
      <c r="F416" t="s">
        <v>34</v>
      </c>
      <c r="G416" t="s">
        <v>34</v>
      </c>
      <c r="H416" t="s">
        <v>102</v>
      </c>
      <c r="I416" t="s">
        <v>63</v>
      </c>
      <c r="J416" t="s">
        <v>41</v>
      </c>
      <c r="K416" t="s">
        <v>58</v>
      </c>
      <c r="L416" s="19">
        <v>1</v>
      </c>
      <c r="M416" s="20">
        <v>1297000</v>
      </c>
      <c r="N416" s="20">
        <v>1109300</v>
      </c>
      <c r="O416" s="20">
        <f t="shared" si="20"/>
        <v>187700</v>
      </c>
      <c r="P416" t="s">
        <v>78</v>
      </c>
    </row>
    <row r="417" spans="1:16">
      <c r="A417" t="s">
        <v>497</v>
      </c>
      <c r="B417" s="18">
        <v>45990</v>
      </c>
      <c r="C417" s="19">
        <f t="shared" si="18"/>
        <v>2025</v>
      </c>
      <c r="D417" s="19" t="str">
        <f t="shared" si="19"/>
        <v>Nov</v>
      </c>
      <c r="E417" t="s">
        <v>17</v>
      </c>
      <c r="F417" t="s">
        <v>51</v>
      </c>
      <c r="G417" t="s">
        <v>52</v>
      </c>
      <c r="H417" t="s">
        <v>70</v>
      </c>
      <c r="I417" t="s">
        <v>84</v>
      </c>
      <c r="J417" t="s">
        <v>22</v>
      </c>
      <c r="K417" t="s">
        <v>23</v>
      </c>
      <c r="L417" s="19">
        <v>1</v>
      </c>
      <c r="M417" s="20">
        <v>6451000</v>
      </c>
      <c r="N417" s="20">
        <v>5196400</v>
      </c>
      <c r="O417" s="20">
        <f t="shared" si="20"/>
        <v>1254600</v>
      </c>
      <c r="P417" t="s">
        <v>72</v>
      </c>
    </row>
    <row r="418" spans="1:16">
      <c r="A418" t="s">
        <v>498</v>
      </c>
      <c r="B418" s="18">
        <v>45990</v>
      </c>
      <c r="C418" s="19">
        <f t="shared" si="18"/>
        <v>2025</v>
      </c>
      <c r="D418" s="19" t="str">
        <f t="shared" si="19"/>
        <v>Nov</v>
      </c>
      <c r="E418" t="s">
        <v>26</v>
      </c>
      <c r="F418" t="s">
        <v>27</v>
      </c>
      <c r="G418" t="s">
        <v>28</v>
      </c>
      <c r="H418" t="s">
        <v>29</v>
      </c>
      <c r="I418" t="s">
        <v>68</v>
      </c>
      <c r="J418" t="s">
        <v>49</v>
      </c>
      <c r="K418" t="s">
        <v>58</v>
      </c>
      <c r="L418" s="19">
        <v>1</v>
      </c>
      <c r="M418" s="20">
        <v>952000</v>
      </c>
      <c r="N418" s="20">
        <v>805100</v>
      </c>
      <c r="O418" s="20">
        <f t="shared" si="20"/>
        <v>146900</v>
      </c>
      <c r="P418" t="s">
        <v>37</v>
      </c>
    </row>
    <row r="419" spans="1:16">
      <c r="A419" t="s">
        <v>499</v>
      </c>
      <c r="B419" s="18">
        <v>45991</v>
      </c>
      <c r="C419" s="19">
        <f t="shared" si="18"/>
        <v>2025</v>
      </c>
      <c r="D419" s="19" t="str">
        <f t="shared" si="19"/>
        <v>Nov</v>
      </c>
      <c r="E419" t="s">
        <v>26</v>
      </c>
      <c r="F419" t="s">
        <v>27</v>
      </c>
      <c r="G419" t="s">
        <v>28</v>
      </c>
      <c r="H419" t="s">
        <v>29</v>
      </c>
      <c r="I419" t="s">
        <v>56</v>
      </c>
      <c r="J419" t="s">
        <v>57</v>
      </c>
      <c r="K419" t="s">
        <v>58</v>
      </c>
      <c r="L419" s="19">
        <v>1</v>
      </c>
      <c r="M419" s="20">
        <v>1232000</v>
      </c>
      <c r="N419" s="20">
        <v>1033300</v>
      </c>
      <c r="O419" s="20">
        <f t="shared" si="20"/>
        <v>198700</v>
      </c>
      <c r="P419" t="s">
        <v>31</v>
      </c>
    </row>
    <row r="420" spans="1:16">
      <c r="A420" t="s">
        <v>500</v>
      </c>
      <c r="B420" s="18">
        <v>45992</v>
      </c>
      <c r="C420" s="19">
        <f t="shared" si="18"/>
        <v>2025</v>
      </c>
      <c r="D420" s="19" t="str">
        <f t="shared" si="19"/>
        <v>Dec</v>
      </c>
      <c r="E420" t="s">
        <v>17</v>
      </c>
      <c r="F420" t="s">
        <v>18</v>
      </c>
      <c r="G420" t="s">
        <v>60</v>
      </c>
      <c r="H420" t="s">
        <v>61</v>
      </c>
      <c r="I420" t="s">
        <v>63</v>
      </c>
      <c r="J420" t="s">
        <v>41</v>
      </c>
      <c r="K420" t="s">
        <v>58</v>
      </c>
      <c r="L420" s="19">
        <v>1</v>
      </c>
      <c r="M420" s="20">
        <v>1312000</v>
      </c>
      <c r="N420" s="20">
        <v>1052000</v>
      </c>
      <c r="O420" s="20">
        <f t="shared" si="20"/>
        <v>260000</v>
      </c>
      <c r="P420" t="s">
        <v>24</v>
      </c>
    </row>
    <row r="421" spans="1:16">
      <c r="A421" t="s">
        <v>501</v>
      </c>
      <c r="B421" s="18">
        <v>45992</v>
      </c>
      <c r="C421" s="19">
        <f t="shared" si="18"/>
        <v>2025</v>
      </c>
      <c r="D421" s="19" t="str">
        <f t="shared" si="19"/>
        <v>Dec</v>
      </c>
      <c r="E421" t="s">
        <v>26</v>
      </c>
      <c r="F421" t="s">
        <v>131</v>
      </c>
      <c r="G421" t="s">
        <v>132</v>
      </c>
      <c r="H421" t="s">
        <v>133</v>
      </c>
      <c r="I421" t="s">
        <v>21</v>
      </c>
      <c r="J421" t="s">
        <v>22</v>
      </c>
      <c r="K421" t="s">
        <v>23</v>
      </c>
      <c r="L421" s="19">
        <v>1</v>
      </c>
      <c r="M421" s="20">
        <v>1781000</v>
      </c>
      <c r="N421" s="20">
        <v>1550200</v>
      </c>
      <c r="O421" s="20">
        <f t="shared" si="20"/>
        <v>230800</v>
      </c>
      <c r="P421" t="s">
        <v>37</v>
      </c>
    </row>
    <row r="422" spans="1:16">
      <c r="A422" t="s">
        <v>502</v>
      </c>
      <c r="B422" s="18">
        <v>45992</v>
      </c>
      <c r="C422" s="19">
        <f t="shared" si="18"/>
        <v>2025</v>
      </c>
      <c r="D422" s="19" t="str">
        <f t="shared" si="19"/>
        <v>Dec</v>
      </c>
      <c r="E422" t="s">
        <v>17</v>
      </c>
      <c r="F422" t="s">
        <v>51</v>
      </c>
      <c r="G422" t="s">
        <v>52</v>
      </c>
      <c r="H422" t="s">
        <v>70</v>
      </c>
      <c r="I422" t="s">
        <v>68</v>
      </c>
      <c r="J422" t="s">
        <v>49</v>
      </c>
      <c r="K422" t="s">
        <v>58</v>
      </c>
      <c r="L422" s="19">
        <v>2</v>
      </c>
      <c r="M422" s="20">
        <v>1867000</v>
      </c>
      <c r="N422" s="20">
        <v>1533600</v>
      </c>
      <c r="O422" s="20">
        <f t="shared" si="20"/>
        <v>333400</v>
      </c>
      <c r="P422" t="s">
        <v>54</v>
      </c>
    </row>
    <row r="423" spans="1:16">
      <c r="A423" t="s">
        <v>503</v>
      </c>
      <c r="B423" s="18">
        <v>45992</v>
      </c>
      <c r="C423" s="19">
        <f t="shared" si="18"/>
        <v>2025</v>
      </c>
      <c r="D423" s="19" t="str">
        <f t="shared" si="19"/>
        <v>Dec</v>
      </c>
      <c r="E423" t="s">
        <v>17</v>
      </c>
      <c r="F423" t="s">
        <v>51</v>
      </c>
      <c r="G423" t="s">
        <v>52</v>
      </c>
      <c r="H423" t="s">
        <v>70</v>
      </c>
      <c r="I423" t="s">
        <v>68</v>
      </c>
      <c r="J423" t="s">
        <v>49</v>
      </c>
      <c r="K423" t="s">
        <v>58</v>
      </c>
      <c r="L423" s="19">
        <v>1</v>
      </c>
      <c r="M423" s="20">
        <v>927000</v>
      </c>
      <c r="N423" s="20">
        <v>780800</v>
      </c>
      <c r="O423" s="20">
        <f t="shared" si="20"/>
        <v>146200</v>
      </c>
      <c r="P423" t="s">
        <v>54</v>
      </c>
    </row>
    <row r="424" spans="1:16">
      <c r="A424" t="s">
        <v>504</v>
      </c>
      <c r="B424" s="18">
        <v>45994</v>
      </c>
      <c r="C424" s="19">
        <f t="shared" si="18"/>
        <v>2025</v>
      </c>
      <c r="D424" s="19" t="str">
        <f t="shared" si="19"/>
        <v>Dec</v>
      </c>
      <c r="E424" t="s">
        <v>17</v>
      </c>
      <c r="F424" t="s">
        <v>18</v>
      </c>
      <c r="G424" t="s">
        <v>19</v>
      </c>
      <c r="H424" t="s">
        <v>20</v>
      </c>
      <c r="I424" t="s">
        <v>21</v>
      </c>
      <c r="J424" t="s">
        <v>22</v>
      </c>
      <c r="K424" t="s">
        <v>23</v>
      </c>
      <c r="L424" s="19">
        <v>1</v>
      </c>
      <c r="M424" s="20">
        <v>1870000</v>
      </c>
      <c r="N424" s="20">
        <v>1522400</v>
      </c>
      <c r="O424" s="20">
        <f t="shared" si="20"/>
        <v>347600</v>
      </c>
      <c r="P424" t="s">
        <v>72</v>
      </c>
    </row>
    <row r="425" spans="1:16">
      <c r="A425" t="s">
        <v>505</v>
      </c>
      <c r="B425" s="18">
        <v>45994</v>
      </c>
      <c r="C425" s="19">
        <f t="shared" si="18"/>
        <v>2025</v>
      </c>
      <c r="D425" s="19" t="str">
        <f t="shared" si="19"/>
        <v>Dec</v>
      </c>
      <c r="E425" t="s">
        <v>17</v>
      </c>
      <c r="F425" t="s">
        <v>18</v>
      </c>
      <c r="G425" t="s">
        <v>60</v>
      </c>
      <c r="H425" t="s">
        <v>61</v>
      </c>
      <c r="I425" t="s">
        <v>121</v>
      </c>
      <c r="J425" t="s">
        <v>57</v>
      </c>
      <c r="K425" t="s">
        <v>42</v>
      </c>
      <c r="L425" s="19">
        <v>1</v>
      </c>
      <c r="M425" s="20">
        <v>1567000</v>
      </c>
      <c r="N425" s="20">
        <v>1272100</v>
      </c>
      <c r="O425" s="20">
        <f t="shared" si="20"/>
        <v>294900</v>
      </c>
      <c r="P425" t="s">
        <v>78</v>
      </c>
    </row>
    <row r="426" spans="1:16">
      <c r="A426" t="s">
        <v>506</v>
      </c>
      <c r="B426" s="18">
        <v>45994</v>
      </c>
      <c r="C426" s="19">
        <f t="shared" si="18"/>
        <v>2025</v>
      </c>
      <c r="D426" s="19" t="str">
        <f t="shared" si="19"/>
        <v>Dec</v>
      </c>
      <c r="E426" t="s">
        <v>26</v>
      </c>
      <c r="F426" t="s">
        <v>65</v>
      </c>
      <c r="G426" t="s">
        <v>66</v>
      </c>
      <c r="H426" t="s">
        <v>67</v>
      </c>
      <c r="I426" t="s">
        <v>68</v>
      </c>
      <c r="J426" t="s">
        <v>49</v>
      </c>
      <c r="K426" t="s">
        <v>58</v>
      </c>
      <c r="L426" s="19">
        <v>1</v>
      </c>
      <c r="M426" s="20">
        <v>954000</v>
      </c>
      <c r="N426" s="20">
        <v>820900</v>
      </c>
      <c r="O426" s="20">
        <f t="shared" si="20"/>
        <v>133100</v>
      </c>
      <c r="P426" t="s">
        <v>31</v>
      </c>
    </row>
    <row r="427" spans="1:16">
      <c r="A427" t="s">
        <v>507</v>
      </c>
      <c r="B427" s="18">
        <v>45994</v>
      </c>
      <c r="C427" s="19">
        <f t="shared" si="18"/>
        <v>2025</v>
      </c>
      <c r="D427" s="19" t="str">
        <f t="shared" si="19"/>
        <v>Dec</v>
      </c>
      <c r="E427" t="s">
        <v>33</v>
      </c>
      <c r="F427" t="s">
        <v>81</v>
      </c>
      <c r="G427" t="s">
        <v>82</v>
      </c>
      <c r="H427" t="s">
        <v>83</v>
      </c>
      <c r="I427" t="s">
        <v>30</v>
      </c>
      <c r="J427" t="s">
        <v>22</v>
      </c>
      <c r="K427" t="s">
        <v>23</v>
      </c>
      <c r="L427" s="19">
        <v>1</v>
      </c>
      <c r="M427" s="20">
        <v>1721000</v>
      </c>
      <c r="N427" s="20">
        <v>1442000</v>
      </c>
      <c r="O427" s="20">
        <f t="shared" si="20"/>
        <v>279000</v>
      </c>
      <c r="P427" t="s">
        <v>31</v>
      </c>
    </row>
    <row r="428" spans="1:16">
      <c r="A428" t="s">
        <v>508</v>
      </c>
      <c r="B428" s="18">
        <v>45995</v>
      </c>
      <c r="C428" s="19">
        <f t="shared" si="18"/>
        <v>2025</v>
      </c>
      <c r="D428" s="19" t="str">
        <f t="shared" si="19"/>
        <v>Dec</v>
      </c>
      <c r="E428" t="s">
        <v>17</v>
      </c>
      <c r="F428" t="s">
        <v>51</v>
      </c>
      <c r="G428" t="s">
        <v>52</v>
      </c>
      <c r="H428" t="s">
        <v>53</v>
      </c>
      <c r="I428" t="s">
        <v>121</v>
      </c>
      <c r="J428" t="s">
        <v>57</v>
      </c>
      <c r="K428" t="s">
        <v>42</v>
      </c>
      <c r="L428" s="19">
        <v>1</v>
      </c>
      <c r="M428" s="20">
        <v>1643000</v>
      </c>
      <c r="N428" s="20">
        <v>1402100</v>
      </c>
      <c r="O428" s="20">
        <f t="shared" si="20"/>
        <v>240900</v>
      </c>
      <c r="P428" t="s">
        <v>24</v>
      </c>
    </row>
    <row r="429" spans="1:16">
      <c r="A429" t="s">
        <v>509</v>
      </c>
      <c r="B429" s="18">
        <v>45995</v>
      </c>
      <c r="C429" s="19">
        <f t="shared" si="18"/>
        <v>2025</v>
      </c>
      <c r="D429" s="19" t="str">
        <f t="shared" si="19"/>
        <v>Dec</v>
      </c>
      <c r="E429" t="s">
        <v>33</v>
      </c>
      <c r="F429" t="s">
        <v>34</v>
      </c>
      <c r="G429" t="s">
        <v>34</v>
      </c>
      <c r="H429" t="s">
        <v>35</v>
      </c>
      <c r="I429" t="s">
        <v>121</v>
      </c>
      <c r="J429" t="s">
        <v>57</v>
      </c>
      <c r="K429" t="s">
        <v>42</v>
      </c>
      <c r="L429" s="19">
        <v>1</v>
      </c>
      <c r="M429" s="20">
        <v>1571000</v>
      </c>
      <c r="N429" s="20">
        <v>1281000</v>
      </c>
      <c r="O429" s="20">
        <f t="shared" si="20"/>
        <v>290000</v>
      </c>
      <c r="P429" t="s">
        <v>31</v>
      </c>
    </row>
    <row r="430" spans="1:16">
      <c r="A430" t="s">
        <v>510</v>
      </c>
      <c r="B430" s="18">
        <v>45995</v>
      </c>
      <c r="C430" s="19">
        <f t="shared" si="18"/>
        <v>2025</v>
      </c>
      <c r="D430" s="19" t="str">
        <f t="shared" si="19"/>
        <v>Dec</v>
      </c>
      <c r="E430" t="s">
        <v>44</v>
      </c>
      <c r="F430" t="s">
        <v>45</v>
      </c>
      <c r="G430" t="s">
        <v>46</v>
      </c>
      <c r="H430" t="s">
        <v>47</v>
      </c>
      <c r="I430" t="s">
        <v>71</v>
      </c>
      <c r="J430" t="s">
        <v>49</v>
      </c>
      <c r="K430" t="s">
        <v>58</v>
      </c>
      <c r="L430" s="19">
        <v>1</v>
      </c>
      <c r="M430" s="20">
        <v>995000</v>
      </c>
      <c r="N430" s="20">
        <v>870700</v>
      </c>
      <c r="O430" s="20">
        <f t="shared" si="20"/>
        <v>124300</v>
      </c>
      <c r="P430" t="s">
        <v>31</v>
      </c>
    </row>
    <row r="431" spans="1:16">
      <c r="A431" t="s">
        <v>511</v>
      </c>
      <c r="B431" s="18">
        <v>45996</v>
      </c>
      <c r="C431" s="19">
        <f t="shared" si="18"/>
        <v>2025</v>
      </c>
      <c r="D431" s="19" t="str">
        <f t="shared" si="19"/>
        <v>Dec</v>
      </c>
      <c r="E431" t="s">
        <v>26</v>
      </c>
      <c r="F431" t="s">
        <v>27</v>
      </c>
      <c r="G431" t="s">
        <v>28</v>
      </c>
      <c r="H431" t="s">
        <v>29</v>
      </c>
      <c r="I431" t="s">
        <v>40</v>
      </c>
      <c r="J431" t="s">
        <v>41</v>
      </c>
      <c r="K431" t="s">
        <v>42</v>
      </c>
      <c r="L431" s="19">
        <v>1</v>
      </c>
      <c r="M431" s="20">
        <v>1699000</v>
      </c>
      <c r="N431" s="20">
        <v>1436300</v>
      </c>
      <c r="O431" s="20">
        <f t="shared" si="20"/>
        <v>262700</v>
      </c>
      <c r="P431" t="s">
        <v>24</v>
      </c>
    </row>
    <row r="432" spans="1:16">
      <c r="A432" t="s">
        <v>512</v>
      </c>
      <c r="B432" s="18">
        <v>45996</v>
      </c>
      <c r="C432" s="19">
        <f t="shared" si="18"/>
        <v>2025</v>
      </c>
      <c r="D432" s="19" t="str">
        <f t="shared" si="19"/>
        <v>Dec</v>
      </c>
      <c r="E432" t="s">
        <v>26</v>
      </c>
      <c r="F432" t="s">
        <v>131</v>
      </c>
      <c r="G432" t="s">
        <v>132</v>
      </c>
      <c r="H432" t="s">
        <v>133</v>
      </c>
      <c r="I432" t="s">
        <v>30</v>
      </c>
      <c r="J432" t="s">
        <v>22</v>
      </c>
      <c r="K432" t="s">
        <v>23</v>
      </c>
      <c r="L432" s="19">
        <v>1</v>
      </c>
      <c r="M432" s="20">
        <v>1800000</v>
      </c>
      <c r="N432" s="20">
        <v>1450600</v>
      </c>
      <c r="O432" s="20">
        <f t="shared" si="20"/>
        <v>349400</v>
      </c>
      <c r="P432" t="s">
        <v>31</v>
      </c>
    </row>
    <row r="433" spans="1:16">
      <c r="A433" t="s">
        <v>513</v>
      </c>
      <c r="B433" s="18">
        <v>45997</v>
      </c>
      <c r="C433" s="19">
        <f t="shared" si="18"/>
        <v>2025</v>
      </c>
      <c r="D433" s="19" t="str">
        <f t="shared" si="19"/>
        <v>Dec</v>
      </c>
      <c r="E433" t="s">
        <v>26</v>
      </c>
      <c r="F433" t="s">
        <v>27</v>
      </c>
      <c r="G433" t="s">
        <v>28</v>
      </c>
      <c r="H433" t="s">
        <v>39</v>
      </c>
      <c r="I433" t="s">
        <v>21</v>
      </c>
      <c r="J433" t="s">
        <v>22</v>
      </c>
      <c r="K433" t="s">
        <v>23</v>
      </c>
      <c r="L433" s="19">
        <v>1</v>
      </c>
      <c r="M433" s="20">
        <v>1874000</v>
      </c>
      <c r="N433" s="20">
        <v>1581100</v>
      </c>
      <c r="O433" s="20">
        <f t="shared" si="20"/>
        <v>292900</v>
      </c>
      <c r="P433" t="s">
        <v>54</v>
      </c>
    </row>
    <row r="434" spans="1:16">
      <c r="A434" t="s">
        <v>514</v>
      </c>
      <c r="B434" s="18">
        <v>45997</v>
      </c>
      <c r="C434" s="19">
        <f t="shared" si="18"/>
        <v>2025</v>
      </c>
      <c r="D434" s="19" t="str">
        <f t="shared" si="19"/>
        <v>Dec</v>
      </c>
      <c r="E434" t="s">
        <v>17</v>
      </c>
      <c r="F434" t="s">
        <v>18</v>
      </c>
      <c r="G434" t="s">
        <v>60</v>
      </c>
      <c r="H434" t="s">
        <v>61</v>
      </c>
      <c r="I434" t="s">
        <v>48</v>
      </c>
      <c r="J434" t="s">
        <v>49</v>
      </c>
      <c r="K434" t="s">
        <v>42</v>
      </c>
      <c r="L434" s="19">
        <v>1</v>
      </c>
      <c r="M434" s="20">
        <v>1273000</v>
      </c>
      <c r="N434" s="20">
        <v>1067900</v>
      </c>
      <c r="O434" s="20">
        <f t="shared" si="20"/>
        <v>205100</v>
      </c>
      <c r="P434" t="s">
        <v>78</v>
      </c>
    </row>
    <row r="435" spans="1:16">
      <c r="A435" t="s">
        <v>515</v>
      </c>
      <c r="B435" s="18">
        <v>46000</v>
      </c>
      <c r="C435" s="19">
        <f t="shared" si="18"/>
        <v>2025</v>
      </c>
      <c r="D435" s="19" t="str">
        <f t="shared" si="19"/>
        <v>Dec</v>
      </c>
      <c r="E435" t="s">
        <v>26</v>
      </c>
      <c r="F435" t="s">
        <v>27</v>
      </c>
      <c r="G435" t="s">
        <v>28</v>
      </c>
      <c r="H435" t="s">
        <v>29</v>
      </c>
      <c r="I435" t="s">
        <v>48</v>
      </c>
      <c r="J435" t="s">
        <v>49</v>
      </c>
      <c r="K435" t="s">
        <v>42</v>
      </c>
      <c r="L435" s="19">
        <v>1</v>
      </c>
      <c r="M435" s="20">
        <v>1203000</v>
      </c>
      <c r="N435" s="20">
        <v>1048600</v>
      </c>
      <c r="O435" s="20">
        <f t="shared" si="20"/>
        <v>154400</v>
      </c>
      <c r="P435" t="s">
        <v>72</v>
      </c>
    </row>
    <row r="436" spans="1:16">
      <c r="A436" t="s">
        <v>516</v>
      </c>
      <c r="B436" s="18">
        <v>46003</v>
      </c>
      <c r="C436" s="19">
        <f t="shared" si="18"/>
        <v>2025</v>
      </c>
      <c r="D436" s="19" t="str">
        <f t="shared" si="19"/>
        <v>Dec</v>
      </c>
      <c r="E436" t="s">
        <v>26</v>
      </c>
      <c r="F436" t="s">
        <v>131</v>
      </c>
      <c r="G436" t="s">
        <v>132</v>
      </c>
      <c r="H436" t="s">
        <v>133</v>
      </c>
      <c r="I436" t="s">
        <v>121</v>
      </c>
      <c r="J436" t="s">
        <v>57</v>
      </c>
      <c r="K436" t="s">
        <v>42</v>
      </c>
      <c r="L436" s="19">
        <v>1</v>
      </c>
      <c r="M436" s="20">
        <v>1618000</v>
      </c>
      <c r="N436" s="20">
        <v>1397300</v>
      </c>
      <c r="O436" s="20">
        <f t="shared" si="20"/>
        <v>220700</v>
      </c>
      <c r="P436" t="s">
        <v>37</v>
      </c>
    </row>
    <row r="437" spans="1:16">
      <c r="A437" t="s">
        <v>517</v>
      </c>
      <c r="B437" s="18">
        <v>46003</v>
      </c>
      <c r="C437" s="19">
        <f t="shared" si="18"/>
        <v>2025</v>
      </c>
      <c r="D437" s="19" t="str">
        <f t="shared" si="19"/>
        <v>Dec</v>
      </c>
      <c r="E437" t="s">
        <v>26</v>
      </c>
      <c r="F437" t="s">
        <v>65</v>
      </c>
      <c r="G437" t="s">
        <v>66</v>
      </c>
      <c r="H437" t="s">
        <v>67</v>
      </c>
      <c r="I437" t="s">
        <v>48</v>
      </c>
      <c r="J437" t="s">
        <v>49</v>
      </c>
      <c r="K437" t="s">
        <v>42</v>
      </c>
      <c r="L437" s="19">
        <v>1</v>
      </c>
      <c r="M437" s="20">
        <v>1193000</v>
      </c>
      <c r="N437" s="20">
        <v>984800</v>
      </c>
      <c r="O437" s="20">
        <f t="shared" si="20"/>
        <v>208200</v>
      </c>
      <c r="P437" t="s">
        <v>24</v>
      </c>
    </row>
    <row r="438" spans="1:16">
      <c r="A438" t="s">
        <v>518</v>
      </c>
      <c r="B438" s="18">
        <v>46003</v>
      </c>
      <c r="C438" s="19">
        <f t="shared" si="18"/>
        <v>2025</v>
      </c>
      <c r="D438" s="19" t="str">
        <f t="shared" si="19"/>
        <v>Dec</v>
      </c>
      <c r="E438" t="s">
        <v>17</v>
      </c>
      <c r="F438" t="s">
        <v>18</v>
      </c>
      <c r="G438" t="s">
        <v>19</v>
      </c>
      <c r="H438" t="s">
        <v>74</v>
      </c>
      <c r="I438" t="s">
        <v>40</v>
      </c>
      <c r="J438" t="s">
        <v>41</v>
      </c>
      <c r="K438" t="s">
        <v>42</v>
      </c>
      <c r="L438" s="19">
        <v>1</v>
      </c>
      <c r="M438" s="20">
        <v>1669000</v>
      </c>
      <c r="N438" s="20">
        <v>1440700</v>
      </c>
      <c r="O438" s="20">
        <f t="shared" si="20"/>
        <v>228300</v>
      </c>
      <c r="P438" t="s">
        <v>24</v>
      </c>
    </row>
    <row r="439" spans="1:16">
      <c r="A439" t="s">
        <v>519</v>
      </c>
      <c r="B439" s="18">
        <v>46003</v>
      </c>
      <c r="C439" s="19">
        <f t="shared" si="18"/>
        <v>2025</v>
      </c>
      <c r="D439" s="19" t="str">
        <f t="shared" si="19"/>
        <v>Dec</v>
      </c>
      <c r="E439" t="s">
        <v>26</v>
      </c>
      <c r="F439" t="s">
        <v>27</v>
      </c>
      <c r="G439" t="s">
        <v>28</v>
      </c>
      <c r="H439" t="s">
        <v>39</v>
      </c>
      <c r="I439" t="s">
        <v>68</v>
      </c>
      <c r="J439" t="s">
        <v>49</v>
      </c>
      <c r="K439" t="s">
        <v>58</v>
      </c>
      <c r="L439" s="19">
        <v>1</v>
      </c>
      <c r="M439" s="20">
        <v>947000</v>
      </c>
      <c r="N439" s="20">
        <v>828500</v>
      </c>
      <c r="O439" s="20">
        <f t="shared" si="20"/>
        <v>118500</v>
      </c>
      <c r="P439" t="s">
        <v>37</v>
      </c>
    </row>
    <row r="440" spans="1:16">
      <c r="A440" t="s">
        <v>520</v>
      </c>
      <c r="B440" s="18">
        <v>46004</v>
      </c>
      <c r="C440" s="19">
        <f t="shared" si="18"/>
        <v>2025</v>
      </c>
      <c r="D440" s="19" t="str">
        <f t="shared" si="19"/>
        <v>Dec</v>
      </c>
      <c r="E440" t="s">
        <v>33</v>
      </c>
      <c r="F440" t="s">
        <v>34</v>
      </c>
      <c r="G440" t="s">
        <v>34</v>
      </c>
      <c r="H440" t="s">
        <v>35</v>
      </c>
      <c r="I440" t="s">
        <v>68</v>
      </c>
      <c r="J440" t="s">
        <v>49</v>
      </c>
      <c r="K440" t="s">
        <v>58</v>
      </c>
      <c r="L440" s="19">
        <v>1</v>
      </c>
      <c r="M440" s="20">
        <v>932000</v>
      </c>
      <c r="N440" s="20">
        <v>798200</v>
      </c>
      <c r="O440" s="20">
        <f t="shared" si="20"/>
        <v>133800</v>
      </c>
      <c r="P440" t="s">
        <v>31</v>
      </c>
    </row>
    <row r="441" spans="1:16">
      <c r="A441" t="s">
        <v>521</v>
      </c>
      <c r="B441" s="18">
        <v>46004</v>
      </c>
      <c r="C441" s="19">
        <f t="shared" si="18"/>
        <v>2025</v>
      </c>
      <c r="D441" s="19" t="str">
        <f t="shared" si="19"/>
        <v>Dec</v>
      </c>
      <c r="E441" t="s">
        <v>26</v>
      </c>
      <c r="F441" t="s">
        <v>65</v>
      </c>
      <c r="G441" t="s">
        <v>66</v>
      </c>
      <c r="H441" t="s">
        <v>67</v>
      </c>
      <c r="I441" t="s">
        <v>63</v>
      </c>
      <c r="J441" t="s">
        <v>41</v>
      </c>
      <c r="K441" t="s">
        <v>58</v>
      </c>
      <c r="L441" s="19">
        <v>1</v>
      </c>
      <c r="M441" s="20">
        <v>1385000</v>
      </c>
      <c r="N441" s="20">
        <v>1163900</v>
      </c>
      <c r="O441" s="20">
        <f t="shared" si="20"/>
        <v>221100</v>
      </c>
      <c r="P441" t="s">
        <v>54</v>
      </c>
    </row>
    <row r="442" spans="1:16">
      <c r="A442" t="s">
        <v>522</v>
      </c>
      <c r="B442" s="18">
        <v>46004</v>
      </c>
      <c r="C442" s="19">
        <f t="shared" si="18"/>
        <v>2025</v>
      </c>
      <c r="D442" s="19" t="str">
        <f t="shared" si="19"/>
        <v>Dec</v>
      </c>
      <c r="E442" t="s">
        <v>26</v>
      </c>
      <c r="F442" t="s">
        <v>27</v>
      </c>
      <c r="G442" t="s">
        <v>28</v>
      </c>
      <c r="H442" t="s">
        <v>29</v>
      </c>
      <c r="I442" t="s">
        <v>56</v>
      </c>
      <c r="J442" t="s">
        <v>57</v>
      </c>
      <c r="K442" t="s">
        <v>58</v>
      </c>
      <c r="L442" s="19">
        <v>1</v>
      </c>
      <c r="M442" s="20">
        <v>1245000</v>
      </c>
      <c r="N442" s="20">
        <v>1086300</v>
      </c>
      <c r="O442" s="20">
        <f t="shared" si="20"/>
        <v>158700</v>
      </c>
      <c r="P442" t="s">
        <v>37</v>
      </c>
    </row>
    <row r="443" spans="1:16">
      <c r="A443" t="s">
        <v>523</v>
      </c>
      <c r="B443" s="18">
        <v>46005</v>
      </c>
      <c r="C443" s="19">
        <f t="shared" si="18"/>
        <v>2025</v>
      </c>
      <c r="D443" s="19" t="str">
        <f t="shared" si="19"/>
        <v>Dec</v>
      </c>
      <c r="E443" t="s">
        <v>33</v>
      </c>
      <c r="F443" t="s">
        <v>81</v>
      </c>
      <c r="G443" t="s">
        <v>82</v>
      </c>
      <c r="H443" t="s">
        <v>83</v>
      </c>
      <c r="I443" t="s">
        <v>171</v>
      </c>
      <c r="J443" t="s">
        <v>22</v>
      </c>
      <c r="K443" t="s">
        <v>42</v>
      </c>
      <c r="L443" s="19">
        <v>1</v>
      </c>
      <c r="M443" s="20">
        <v>6090000</v>
      </c>
      <c r="N443" s="20">
        <v>5326100</v>
      </c>
      <c r="O443" s="20">
        <f t="shared" si="20"/>
        <v>763900</v>
      </c>
      <c r="P443" t="s">
        <v>31</v>
      </c>
    </row>
    <row r="444" spans="1:16">
      <c r="A444" t="s">
        <v>524</v>
      </c>
      <c r="B444" s="18">
        <v>46006</v>
      </c>
      <c r="C444" s="19">
        <f t="shared" si="18"/>
        <v>2025</v>
      </c>
      <c r="D444" s="19" t="str">
        <f t="shared" si="19"/>
        <v>Dec</v>
      </c>
      <c r="E444" t="s">
        <v>17</v>
      </c>
      <c r="F444" t="s">
        <v>18</v>
      </c>
      <c r="G444" t="s">
        <v>19</v>
      </c>
      <c r="H444" t="s">
        <v>20</v>
      </c>
      <c r="I444" t="s">
        <v>71</v>
      </c>
      <c r="J444" t="s">
        <v>49</v>
      </c>
      <c r="K444" t="s">
        <v>58</v>
      </c>
      <c r="L444" s="19">
        <v>1</v>
      </c>
      <c r="M444" s="20">
        <v>1036000</v>
      </c>
      <c r="N444" s="20">
        <v>830400</v>
      </c>
      <c r="O444" s="20">
        <f t="shared" si="20"/>
        <v>205600</v>
      </c>
      <c r="P444" t="s">
        <v>24</v>
      </c>
    </row>
    <row r="445" spans="1:16">
      <c r="A445" t="s">
        <v>525</v>
      </c>
      <c r="B445" s="18">
        <v>46007</v>
      </c>
      <c r="C445" s="19">
        <f t="shared" si="18"/>
        <v>2025</v>
      </c>
      <c r="D445" s="19" t="str">
        <f t="shared" si="19"/>
        <v>Dec</v>
      </c>
      <c r="E445" t="s">
        <v>33</v>
      </c>
      <c r="F445" t="s">
        <v>92</v>
      </c>
      <c r="G445" t="s">
        <v>93</v>
      </c>
      <c r="H445" t="s">
        <v>94</v>
      </c>
      <c r="I445" t="s">
        <v>63</v>
      </c>
      <c r="J445" t="s">
        <v>41</v>
      </c>
      <c r="K445" t="s">
        <v>58</v>
      </c>
      <c r="L445" s="19">
        <v>1</v>
      </c>
      <c r="M445" s="20">
        <v>1370000</v>
      </c>
      <c r="N445" s="20">
        <v>1158900</v>
      </c>
      <c r="O445" s="20">
        <f t="shared" si="20"/>
        <v>211100</v>
      </c>
      <c r="P445" t="s">
        <v>31</v>
      </c>
    </row>
    <row r="446" spans="1:16">
      <c r="A446" t="s">
        <v>526</v>
      </c>
      <c r="B446" s="18">
        <v>46008</v>
      </c>
      <c r="C446" s="19">
        <f t="shared" si="18"/>
        <v>2025</v>
      </c>
      <c r="D446" s="19" t="str">
        <f t="shared" si="19"/>
        <v>Dec</v>
      </c>
      <c r="E446" t="s">
        <v>26</v>
      </c>
      <c r="F446" t="s">
        <v>27</v>
      </c>
      <c r="G446" t="s">
        <v>28</v>
      </c>
      <c r="H446" t="s">
        <v>29</v>
      </c>
      <c r="I446" t="s">
        <v>56</v>
      </c>
      <c r="J446" t="s">
        <v>57</v>
      </c>
      <c r="K446" t="s">
        <v>58</v>
      </c>
      <c r="L446" s="19">
        <v>1</v>
      </c>
      <c r="M446" s="20">
        <v>1249000</v>
      </c>
      <c r="N446" s="20">
        <v>1008400</v>
      </c>
      <c r="O446" s="20">
        <f t="shared" si="20"/>
        <v>240600</v>
      </c>
      <c r="P446" t="s">
        <v>54</v>
      </c>
    </row>
    <row r="447" spans="1:16">
      <c r="A447" t="s">
        <v>527</v>
      </c>
      <c r="B447" s="18">
        <v>46008</v>
      </c>
      <c r="C447" s="19">
        <f t="shared" si="18"/>
        <v>2025</v>
      </c>
      <c r="D447" s="19" t="str">
        <f t="shared" si="19"/>
        <v>Dec</v>
      </c>
      <c r="E447" t="s">
        <v>26</v>
      </c>
      <c r="F447" t="s">
        <v>65</v>
      </c>
      <c r="G447" t="s">
        <v>66</v>
      </c>
      <c r="H447" t="s">
        <v>67</v>
      </c>
      <c r="I447" t="s">
        <v>68</v>
      </c>
      <c r="J447" t="s">
        <v>49</v>
      </c>
      <c r="K447" t="s">
        <v>58</v>
      </c>
      <c r="L447" s="19">
        <v>1</v>
      </c>
      <c r="M447" s="20">
        <v>947000</v>
      </c>
      <c r="N447" s="20">
        <v>833000</v>
      </c>
      <c r="O447" s="20">
        <f t="shared" si="20"/>
        <v>114000</v>
      </c>
      <c r="P447" t="s">
        <v>37</v>
      </c>
    </row>
    <row r="448" spans="1:16">
      <c r="A448" t="s">
        <v>528</v>
      </c>
      <c r="B448" s="18">
        <v>46008</v>
      </c>
      <c r="C448" s="19">
        <f t="shared" si="18"/>
        <v>2025</v>
      </c>
      <c r="D448" s="19" t="str">
        <f t="shared" si="19"/>
        <v>Dec</v>
      </c>
      <c r="E448" t="s">
        <v>17</v>
      </c>
      <c r="F448" t="s">
        <v>51</v>
      </c>
      <c r="G448" t="s">
        <v>52</v>
      </c>
      <c r="H448" t="s">
        <v>53</v>
      </c>
      <c r="I448" t="s">
        <v>63</v>
      </c>
      <c r="J448" t="s">
        <v>41</v>
      </c>
      <c r="K448" t="s">
        <v>58</v>
      </c>
      <c r="L448" s="19">
        <v>1</v>
      </c>
      <c r="M448" s="20">
        <v>1320000</v>
      </c>
      <c r="N448" s="20">
        <v>1056200</v>
      </c>
      <c r="O448" s="20">
        <f t="shared" si="20"/>
        <v>263800</v>
      </c>
      <c r="P448" t="s">
        <v>78</v>
      </c>
    </row>
    <row r="449" spans="1:16">
      <c r="A449" t="s">
        <v>529</v>
      </c>
      <c r="B449" s="18">
        <v>46008</v>
      </c>
      <c r="C449" s="19">
        <f t="shared" si="18"/>
        <v>2025</v>
      </c>
      <c r="D449" s="19" t="str">
        <f t="shared" si="19"/>
        <v>Dec</v>
      </c>
      <c r="E449" t="s">
        <v>33</v>
      </c>
      <c r="F449" t="s">
        <v>34</v>
      </c>
      <c r="G449" t="s">
        <v>34</v>
      </c>
      <c r="H449" t="s">
        <v>35</v>
      </c>
      <c r="I449" t="s">
        <v>56</v>
      </c>
      <c r="J449" t="s">
        <v>57</v>
      </c>
      <c r="K449" t="s">
        <v>58</v>
      </c>
      <c r="L449" s="19">
        <v>1</v>
      </c>
      <c r="M449" s="20">
        <v>1226000</v>
      </c>
      <c r="N449" s="20">
        <v>989500</v>
      </c>
      <c r="O449" s="20">
        <f t="shared" si="20"/>
        <v>236500</v>
      </c>
      <c r="P449" t="s">
        <v>72</v>
      </c>
    </row>
    <row r="450" spans="1:16">
      <c r="A450" t="s">
        <v>530</v>
      </c>
      <c r="B450" s="18">
        <v>46008</v>
      </c>
      <c r="C450" s="19">
        <f t="shared" ref="C450:C513" si="21">YEAR(B450)</f>
        <v>2025</v>
      </c>
      <c r="D450" s="19" t="str">
        <f t="shared" ref="D450:D513" si="22">CHOOSE(MONTH(B450),"Jan","Feb","Mar","Apr","May","Jun","Jul","Aug","Sep","Oct","Nov","Dec")</f>
        <v>Dec</v>
      </c>
      <c r="E450" t="s">
        <v>17</v>
      </c>
      <c r="F450" t="s">
        <v>18</v>
      </c>
      <c r="G450" t="s">
        <v>60</v>
      </c>
      <c r="H450" t="s">
        <v>61</v>
      </c>
      <c r="I450" t="s">
        <v>71</v>
      </c>
      <c r="J450" t="s">
        <v>49</v>
      </c>
      <c r="K450" t="s">
        <v>58</v>
      </c>
      <c r="L450" s="19">
        <v>1</v>
      </c>
      <c r="M450" s="20">
        <v>998000</v>
      </c>
      <c r="N450" s="20">
        <v>862900</v>
      </c>
      <c r="O450" s="20">
        <f t="shared" ref="O450:O513" si="23">M450-N450</f>
        <v>135100</v>
      </c>
      <c r="P450" t="s">
        <v>24</v>
      </c>
    </row>
    <row r="451" spans="1:16">
      <c r="A451" t="s">
        <v>531</v>
      </c>
      <c r="B451" s="18">
        <v>46009</v>
      </c>
      <c r="C451" s="19">
        <f t="shared" si="21"/>
        <v>2025</v>
      </c>
      <c r="D451" s="19" t="str">
        <f t="shared" si="22"/>
        <v>Dec</v>
      </c>
      <c r="E451" t="s">
        <v>44</v>
      </c>
      <c r="F451" t="s">
        <v>118</v>
      </c>
      <c r="G451" t="s">
        <v>119</v>
      </c>
      <c r="H451" t="s">
        <v>120</v>
      </c>
      <c r="I451" t="s">
        <v>71</v>
      </c>
      <c r="J451" t="s">
        <v>49</v>
      </c>
      <c r="K451" t="s">
        <v>58</v>
      </c>
      <c r="L451" s="19">
        <v>1</v>
      </c>
      <c r="M451" s="20">
        <v>1040000</v>
      </c>
      <c r="N451" s="20">
        <v>853900</v>
      </c>
      <c r="O451" s="20">
        <f t="shared" si="23"/>
        <v>186100</v>
      </c>
      <c r="P451" t="s">
        <v>78</v>
      </c>
    </row>
    <row r="452" spans="1:16">
      <c r="A452" t="s">
        <v>532</v>
      </c>
      <c r="B452" s="18">
        <v>46010</v>
      </c>
      <c r="C452" s="19">
        <f t="shared" si="21"/>
        <v>2025</v>
      </c>
      <c r="D452" s="19" t="str">
        <f t="shared" si="22"/>
        <v>Dec</v>
      </c>
      <c r="E452" t="s">
        <v>17</v>
      </c>
      <c r="F452" t="s">
        <v>51</v>
      </c>
      <c r="G452" t="s">
        <v>52</v>
      </c>
      <c r="H452" t="s">
        <v>70</v>
      </c>
      <c r="I452" t="s">
        <v>40</v>
      </c>
      <c r="J452" t="s">
        <v>41</v>
      </c>
      <c r="K452" t="s">
        <v>42</v>
      </c>
      <c r="L452" s="19">
        <v>1</v>
      </c>
      <c r="M452" s="20">
        <v>1734000</v>
      </c>
      <c r="N452" s="20">
        <v>1434100</v>
      </c>
      <c r="O452" s="20">
        <f t="shared" si="23"/>
        <v>299900</v>
      </c>
      <c r="P452" t="s">
        <v>31</v>
      </c>
    </row>
    <row r="453" spans="1:16">
      <c r="A453" t="s">
        <v>533</v>
      </c>
      <c r="B453" s="18">
        <v>46011</v>
      </c>
      <c r="C453" s="19">
        <f t="shared" si="21"/>
        <v>2025</v>
      </c>
      <c r="D453" s="19" t="str">
        <f t="shared" si="22"/>
        <v>Dec</v>
      </c>
      <c r="E453" t="s">
        <v>26</v>
      </c>
      <c r="F453" t="s">
        <v>65</v>
      </c>
      <c r="G453" t="s">
        <v>66</v>
      </c>
      <c r="H453" t="s">
        <v>67</v>
      </c>
      <c r="I453" t="s">
        <v>21</v>
      </c>
      <c r="J453" t="s">
        <v>22</v>
      </c>
      <c r="K453" t="s">
        <v>23</v>
      </c>
      <c r="L453" s="19">
        <v>1</v>
      </c>
      <c r="M453" s="20">
        <v>1892000</v>
      </c>
      <c r="N453" s="20">
        <v>1587100</v>
      </c>
      <c r="O453" s="20">
        <f t="shared" si="23"/>
        <v>304900</v>
      </c>
      <c r="P453" t="s">
        <v>54</v>
      </c>
    </row>
    <row r="454" spans="1:16">
      <c r="A454" t="s">
        <v>534</v>
      </c>
      <c r="B454" s="18">
        <v>46011</v>
      </c>
      <c r="C454" s="19">
        <f t="shared" si="21"/>
        <v>2025</v>
      </c>
      <c r="D454" s="19" t="str">
        <f t="shared" si="22"/>
        <v>Dec</v>
      </c>
      <c r="E454" t="s">
        <v>26</v>
      </c>
      <c r="F454" t="s">
        <v>27</v>
      </c>
      <c r="G454" t="s">
        <v>28</v>
      </c>
      <c r="H454" t="s">
        <v>29</v>
      </c>
      <c r="I454" t="s">
        <v>56</v>
      </c>
      <c r="J454" t="s">
        <v>57</v>
      </c>
      <c r="K454" t="s">
        <v>58</v>
      </c>
      <c r="L454" s="19">
        <v>1</v>
      </c>
      <c r="M454" s="20">
        <v>1244000</v>
      </c>
      <c r="N454" s="20">
        <v>1044700</v>
      </c>
      <c r="O454" s="20">
        <f t="shared" si="23"/>
        <v>199300</v>
      </c>
      <c r="P454" t="s">
        <v>72</v>
      </c>
    </row>
    <row r="455" spans="1:16">
      <c r="A455" t="s">
        <v>535</v>
      </c>
      <c r="B455" s="18">
        <v>46013</v>
      </c>
      <c r="C455" s="19">
        <f t="shared" si="21"/>
        <v>2025</v>
      </c>
      <c r="D455" s="19" t="str">
        <f t="shared" si="22"/>
        <v>Dec</v>
      </c>
      <c r="E455" t="s">
        <v>44</v>
      </c>
      <c r="F455" t="s">
        <v>118</v>
      </c>
      <c r="G455" t="s">
        <v>119</v>
      </c>
      <c r="H455" t="s">
        <v>120</v>
      </c>
      <c r="I455" t="s">
        <v>71</v>
      </c>
      <c r="J455" t="s">
        <v>49</v>
      </c>
      <c r="K455" t="s">
        <v>58</v>
      </c>
      <c r="L455" s="19">
        <v>1</v>
      </c>
      <c r="M455" s="20">
        <v>1032000</v>
      </c>
      <c r="N455" s="20">
        <v>872800</v>
      </c>
      <c r="O455" s="20">
        <f t="shared" si="23"/>
        <v>159200</v>
      </c>
      <c r="P455" t="s">
        <v>24</v>
      </c>
    </row>
    <row r="456" spans="1:16">
      <c r="A456" t="s">
        <v>536</v>
      </c>
      <c r="B456" s="18">
        <v>46013</v>
      </c>
      <c r="C456" s="19">
        <f t="shared" si="21"/>
        <v>2025</v>
      </c>
      <c r="D456" s="19" t="str">
        <f t="shared" si="22"/>
        <v>Dec</v>
      </c>
      <c r="E456" t="s">
        <v>26</v>
      </c>
      <c r="F456" t="s">
        <v>27</v>
      </c>
      <c r="G456" t="s">
        <v>28</v>
      </c>
      <c r="H456" t="s">
        <v>39</v>
      </c>
      <c r="I456" t="s">
        <v>121</v>
      </c>
      <c r="J456" t="s">
        <v>57</v>
      </c>
      <c r="K456" t="s">
        <v>42</v>
      </c>
      <c r="L456" s="19">
        <v>1</v>
      </c>
      <c r="M456" s="20">
        <v>1519000</v>
      </c>
      <c r="N456" s="20">
        <v>1308200</v>
      </c>
      <c r="O456" s="20">
        <f t="shared" si="23"/>
        <v>210800</v>
      </c>
      <c r="P456" t="s">
        <v>37</v>
      </c>
    </row>
    <row r="457" spans="1:16">
      <c r="A457" t="s">
        <v>537</v>
      </c>
      <c r="B457" s="18">
        <v>46015</v>
      </c>
      <c r="C457" s="19">
        <f t="shared" si="21"/>
        <v>2025</v>
      </c>
      <c r="D457" s="19" t="str">
        <f t="shared" si="22"/>
        <v>Dec</v>
      </c>
      <c r="E457" t="s">
        <v>17</v>
      </c>
      <c r="F457" t="s">
        <v>51</v>
      </c>
      <c r="G457" t="s">
        <v>52</v>
      </c>
      <c r="H457" t="s">
        <v>53</v>
      </c>
      <c r="I457" t="s">
        <v>68</v>
      </c>
      <c r="J457" t="s">
        <v>49</v>
      </c>
      <c r="K457" t="s">
        <v>58</v>
      </c>
      <c r="L457" s="19">
        <v>1</v>
      </c>
      <c r="M457" s="20">
        <v>913000</v>
      </c>
      <c r="N457" s="20">
        <v>799400</v>
      </c>
      <c r="O457" s="20">
        <f t="shared" si="23"/>
        <v>113600</v>
      </c>
      <c r="P457" t="s">
        <v>24</v>
      </c>
    </row>
    <row r="458" spans="1:16">
      <c r="A458" t="s">
        <v>538</v>
      </c>
      <c r="B458" s="18">
        <v>46015</v>
      </c>
      <c r="C458" s="19">
        <f t="shared" si="21"/>
        <v>2025</v>
      </c>
      <c r="D458" s="19" t="str">
        <f t="shared" si="22"/>
        <v>Dec</v>
      </c>
      <c r="E458" t="s">
        <v>33</v>
      </c>
      <c r="F458" t="s">
        <v>34</v>
      </c>
      <c r="G458" t="s">
        <v>34</v>
      </c>
      <c r="H458" t="s">
        <v>102</v>
      </c>
      <c r="I458" t="s">
        <v>63</v>
      </c>
      <c r="J458" t="s">
        <v>41</v>
      </c>
      <c r="K458" t="s">
        <v>58</v>
      </c>
      <c r="L458" s="19">
        <v>1</v>
      </c>
      <c r="M458" s="20">
        <v>1393000</v>
      </c>
      <c r="N458" s="20">
        <v>1169900</v>
      </c>
      <c r="O458" s="20">
        <f t="shared" si="23"/>
        <v>223100</v>
      </c>
      <c r="P458" t="s">
        <v>31</v>
      </c>
    </row>
    <row r="459" spans="1:16">
      <c r="A459" t="s">
        <v>539</v>
      </c>
      <c r="B459" s="18">
        <v>46017</v>
      </c>
      <c r="C459" s="19">
        <f t="shared" si="21"/>
        <v>2025</v>
      </c>
      <c r="D459" s="19" t="str">
        <f t="shared" si="22"/>
        <v>Dec</v>
      </c>
      <c r="E459" t="s">
        <v>17</v>
      </c>
      <c r="F459" t="s">
        <v>18</v>
      </c>
      <c r="G459" t="s">
        <v>19</v>
      </c>
      <c r="H459" t="s">
        <v>74</v>
      </c>
      <c r="I459" t="s">
        <v>71</v>
      </c>
      <c r="J459" t="s">
        <v>49</v>
      </c>
      <c r="K459" t="s">
        <v>58</v>
      </c>
      <c r="L459" s="19">
        <v>1</v>
      </c>
      <c r="M459" s="20">
        <v>986000</v>
      </c>
      <c r="N459" s="20">
        <v>811000</v>
      </c>
      <c r="O459" s="20">
        <f t="shared" si="23"/>
        <v>175000</v>
      </c>
      <c r="P459" t="s">
        <v>24</v>
      </c>
    </row>
    <row r="460" spans="1:16">
      <c r="A460" t="s">
        <v>540</v>
      </c>
      <c r="B460" s="18">
        <v>46017</v>
      </c>
      <c r="C460" s="19">
        <f t="shared" si="21"/>
        <v>2025</v>
      </c>
      <c r="D460" s="19" t="str">
        <f t="shared" si="22"/>
        <v>Dec</v>
      </c>
      <c r="E460" t="s">
        <v>33</v>
      </c>
      <c r="F460" t="s">
        <v>34</v>
      </c>
      <c r="G460" t="s">
        <v>34</v>
      </c>
      <c r="H460" t="s">
        <v>35</v>
      </c>
      <c r="I460" t="s">
        <v>68</v>
      </c>
      <c r="J460" t="s">
        <v>49</v>
      </c>
      <c r="K460" t="s">
        <v>58</v>
      </c>
      <c r="L460" s="19">
        <v>1</v>
      </c>
      <c r="M460" s="20">
        <v>911000</v>
      </c>
      <c r="N460" s="20">
        <v>789400</v>
      </c>
      <c r="O460" s="20">
        <f t="shared" si="23"/>
        <v>121600</v>
      </c>
      <c r="P460" t="s">
        <v>24</v>
      </c>
    </row>
    <row r="461" spans="1:16">
      <c r="A461" t="s">
        <v>541</v>
      </c>
      <c r="B461" s="18">
        <v>46018</v>
      </c>
      <c r="C461" s="19">
        <f t="shared" si="21"/>
        <v>2025</v>
      </c>
      <c r="D461" s="19" t="str">
        <f t="shared" si="22"/>
        <v>Dec</v>
      </c>
      <c r="E461" t="s">
        <v>17</v>
      </c>
      <c r="F461" t="s">
        <v>18</v>
      </c>
      <c r="G461" t="s">
        <v>19</v>
      </c>
      <c r="H461" t="s">
        <v>20</v>
      </c>
      <c r="I461" t="s">
        <v>68</v>
      </c>
      <c r="J461" t="s">
        <v>49</v>
      </c>
      <c r="K461" t="s">
        <v>58</v>
      </c>
      <c r="L461" s="19">
        <v>1</v>
      </c>
      <c r="M461" s="20">
        <v>924000</v>
      </c>
      <c r="N461" s="20">
        <v>753000</v>
      </c>
      <c r="O461" s="20">
        <f t="shared" si="23"/>
        <v>171000</v>
      </c>
      <c r="P461" t="s">
        <v>54</v>
      </c>
    </row>
    <row r="462" spans="1:16">
      <c r="A462" t="s">
        <v>542</v>
      </c>
      <c r="B462" s="18">
        <v>46018</v>
      </c>
      <c r="C462" s="19">
        <f t="shared" si="21"/>
        <v>2025</v>
      </c>
      <c r="D462" s="19" t="str">
        <f t="shared" si="22"/>
        <v>Dec</v>
      </c>
      <c r="E462" t="s">
        <v>17</v>
      </c>
      <c r="F462" t="s">
        <v>18</v>
      </c>
      <c r="G462" t="s">
        <v>19</v>
      </c>
      <c r="H462" t="s">
        <v>74</v>
      </c>
      <c r="I462" t="s">
        <v>121</v>
      </c>
      <c r="J462" t="s">
        <v>57</v>
      </c>
      <c r="K462" t="s">
        <v>42</v>
      </c>
      <c r="L462" s="19">
        <v>1</v>
      </c>
      <c r="M462" s="20">
        <v>1524000</v>
      </c>
      <c r="N462" s="20">
        <v>1300300</v>
      </c>
      <c r="O462" s="20">
        <f t="shared" si="23"/>
        <v>223700</v>
      </c>
      <c r="P462" t="s">
        <v>54</v>
      </c>
    </row>
    <row r="463" spans="1:16">
      <c r="A463" t="s">
        <v>543</v>
      </c>
      <c r="B463" s="18">
        <v>46019</v>
      </c>
      <c r="C463" s="19">
        <f t="shared" si="21"/>
        <v>2025</v>
      </c>
      <c r="D463" s="19" t="str">
        <f t="shared" si="22"/>
        <v>Dec</v>
      </c>
      <c r="E463" t="s">
        <v>26</v>
      </c>
      <c r="F463" t="s">
        <v>65</v>
      </c>
      <c r="G463" t="s">
        <v>66</v>
      </c>
      <c r="H463" t="s">
        <v>67</v>
      </c>
      <c r="I463" t="s">
        <v>48</v>
      </c>
      <c r="J463" t="s">
        <v>49</v>
      </c>
      <c r="K463" t="s">
        <v>42</v>
      </c>
      <c r="L463" s="19">
        <v>1</v>
      </c>
      <c r="M463" s="20">
        <v>1197000</v>
      </c>
      <c r="N463" s="20">
        <v>1018200</v>
      </c>
      <c r="O463" s="20">
        <f t="shared" si="23"/>
        <v>178800</v>
      </c>
      <c r="P463" t="s">
        <v>31</v>
      </c>
    </row>
    <row r="464" spans="1:16">
      <c r="A464" t="s">
        <v>544</v>
      </c>
      <c r="B464" s="18">
        <v>46019</v>
      </c>
      <c r="C464" s="19">
        <f t="shared" si="21"/>
        <v>2025</v>
      </c>
      <c r="D464" s="19" t="str">
        <f t="shared" si="22"/>
        <v>Dec</v>
      </c>
      <c r="E464" t="s">
        <v>26</v>
      </c>
      <c r="F464" t="s">
        <v>27</v>
      </c>
      <c r="G464" t="s">
        <v>28</v>
      </c>
      <c r="H464" t="s">
        <v>29</v>
      </c>
      <c r="I464" t="s">
        <v>71</v>
      </c>
      <c r="J464" t="s">
        <v>49</v>
      </c>
      <c r="K464" t="s">
        <v>58</v>
      </c>
      <c r="L464" s="19">
        <v>1</v>
      </c>
      <c r="M464" s="20">
        <v>991000</v>
      </c>
      <c r="N464" s="20">
        <v>848400</v>
      </c>
      <c r="O464" s="20">
        <f t="shared" si="23"/>
        <v>142600</v>
      </c>
      <c r="P464" t="s">
        <v>31</v>
      </c>
    </row>
    <row r="465" spans="1:16">
      <c r="A465" t="s">
        <v>545</v>
      </c>
      <c r="B465" s="18">
        <v>46019</v>
      </c>
      <c r="C465" s="19">
        <f t="shared" si="21"/>
        <v>2025</v>
      </c>
      <c r="D465" s="19" t="str">
        <f t="shared" si="22"/>
        <v>Dec</v>
      </c>
      <c r="E465" t="s">
        <v>26</v>
      </c>
      <c r="F465" t="s">
        <v>65</v>
      </c>
      <c r="G465" t="s">
        <v>66</v>
      </c>
      <c r="H465" t="s">
        <v>67</v>
      </c>
      <c r="I465" t="s">
        <v>21</v>
      </c>
      <c r="J465" t="s">
        <v>22</v>
      </c>
      <c r="K465" t="s">
        <v>23</v>
      </c>
      <c r="L465" s="19">
        <v>1</v>
      </c>
      <c r="M465" s="20">
        <v>1798000</v>
      </c>
      <c r="N465" s="20">
        <v>1531700</v>
      </c>
      <c r="O465" s="20">
        <f t="shared" si="23"/>
        <v>266300</v>
      </c>
      <c r="P465" t="s">
        <v>72</v>
      </c>
    </row>
    <row r="466" spans="1:16">
      <c r="A466" t="s">
        <v>546</v>
      </c>
      <c r="B466" s="18">
        <v>46020</v>
      </c>
      <c r="C466" s="19">
        <f t="shared" si="21"/>
        <v>2025</v>
      </c>
      <c r="D466" s="19" t="str">
        <f t="shared" si="22"/>
        <v>Dec</v>
      </c>
      <c r="E466" t="s">
        <v>33</v>
      </c>
      <c r="F466" t="s">
        <v>34</v>
      </c>
      <c r="G466" t="s">
        <v>34</v>
      </c>
      <c r="H466" t="s">
        <v>35</v>
      </c>
      <c r="I466" t="s">
        <v>40</v>
      </c>
      <c r="J466" t="s">
        <v>41</v>
      </c>
      <c r="K466" t="s">
        <v>42</v>
      </c>
      <c r="L466" s="19">
        <v>1</v>
      </c>
      <c r="M466" s="20">
        <v>1708000</v>
      </c>
      <c r="N466" s="20">
        <v>1441600</v>
      </c>
      <c r="O466" s="20">
        <f t="shared" si="23"/>
        <v>266400</v>
      </c>
      <c r="P466" t="s">
        <v>31</v>
      </c>
    </row>
    <row r="467" spans="1:16">
      <c r="A467" t="s">
        <v>547</v>
      </c>
      <c r="B467" s="18">
        <v>46020</v>
      </c>
      <c r="C467" s="19">
        <f t="shared" si="21"/>
        <v>2025</v>
      </c>
      <c r="D467" s="19" t="str">
        <f t="shared" si="22"/>
        <v>Dec</v>
      </c>
      <c r="E467" t="s">
        <v>17</v>
      </c>
      <c r="F467" t="s">
        <v>51</v>
      </c>
      <c r="G467" t="s">
        <v>98</v>
      </c>
      <c r="H467" t="s">
        <v>99</v>
      </c>
      <c r="I467" t="s">
        <v>63</v>
      </c>
      <c r="J467" t="s">
        <v>41</v>
      </c>
      <c r="K467" t="s">
        <v>58</v>
      </c>
      <c r="L467" s="19">
        <v>1</v>
      </c>
      <c r="M467" s="20">
        <v>1338000</v>
      </c>
      <c r="N467" s="20">
        <v>1143500</v>
      </c>
      <c r="O467" s="20">
        <f t="shared" si="23"/>
        <v>194500</v>
      </c>
      <c r="P467" t="s">
        <v>24</v>
      </c>
    </row>
    <row r="468" spans="1:16">
      <c r="A468" t="s">
        <v>548</v>
      </c>
      <c r="B468" s="18">
        <v>46021</v>
      </c>
      <c r="C468" s="19">
        <f t="shared" si="21"/>
        <v>2025</v>
      </c>
      <c r="D468" s="19" t="str">
        <f t="shared" si="22"/>
        <v>Dec</v>
      </c>
      <c r="E468" t="s">
        <v>17</v>
      </c>
      <c r="F468" t="s">
        <v>51</v>
      </c>
      <c r="G468" t="s">
        <v>52</v>
      </c>
      <c r="H468" t="s">
        <v>70</v>
      </c>
      <c r="I468" t="s">
        <v>21</v>
      </c>
      <c r="J468" t="s">
        <v>22</v>
      </c>
      <c r="K468" t="s">
        <v>23</v>
      </c>
      <c r="L468" s="19">
        <v>1</v>
      </c>
      <c r="M468" s="20">
        <v>1801000</v>
      </c>
      <c r="N468" s="20">
        <v>1557700</v>
      </c>
      <c r="O468" s="20">
        <f t="shared" si="23"/>
        <v>243300</v>
      </c>
      <c r="P468" t="s">
        <v>31</v>
      </c>
    </row>
    <row r="469" spans="1:16">
      <c r="A469" t="s">
        <v>549</v>
      </c>
      <c r="B469" s="18">
        <v>46021</v>
      </c>
      <c r="C469" s="19">
        <f t="shared" si="21"/>
        <v>2025</v>
      </c>
      <c r="D469" s="19" t="str">
        <f t="shared" si="22"/>
        <v>Dec</v>
      </c>
      <c r="E469" t="s">
        <v>17</v>
      </c>
      <c r="F469" t="s">
        <v>18</v>
      </c>
      <c r="G469" t="s">
        <v>60</v>
      </c>
      <c r="H469" t="s">
        <v>61</v>
      </c>
      <c r="I469" t="s">
        <v>71</v>
      </c>
      <c r="J469" t="s">
        <v>49</v>
      </c>
      <c r="K469" t="s">
        <v>58</v>
      </c>
      <c r="L469" s="19">
        <v>1</v>
      </c>
      <c r="M469" s="20">
        <v>1012000</v>
      </c>
      <c r="N469" s="20">
        <v>826300</v>
      </c>
      <c r="O469" s="20">
        <f t="shared" si="23"/>
        <v>185700</v>
      </c>
      <c r="P469" t="s">
        <v>54</v>
      </c>
    </row>
    <row r="470" spans="1:16">
      <c r="A470" t="s">
        <v>550</v>
      </c>
      <c r="B470" s="18">
        <v>46021</v>
      </c>
      <c r="C470" s="19">
        <f t="shared" si="21"/>
        <v>2025</v>
      </c>
      <c r="D470" s="19" t="str">
        <f t="shared" si="22"/>
        <v>Dec</v>
      </c>
      <c r="E470" t="s">
        <v>17</v>
      </c>
      <c r="F470" t="s">
        <v>51</v>
      </c>
      <c r="G470" t="s">
        <v>98</v>
      </c>
      <c r="H470" t="s">
        <v>99</v>
      </c>
      <c r="I470" t="s">
        <v>56</v>
      </c>
      <c r="J470" t="s">
        <v>57</v>
      </c>
      <c r="K470" t="s">
        <v>58</v>
      </c>
      <c r="L470" s="19">
        <v>1</v>
      </c>
      <c r="M470" s="20">
        <v>1182000</v>
      </c>
      <c r="N470" s="20">
        <v>1014100</v>
      </c>
      <c r="O470" s="20">
        <f t="shared" si="23"/>
        <v>167900</v>
      </c>
      <c r="P470" t="s">
        <v>37</v>
      </c>
    </row>
    <row r="471" spans="1:16">
      <c r="A471" t="s">
        <v>551</v>
      </c>
      <c r="B471" s="18">
        <v>46022</v>
      </c>
      <c r="C471" s="19">
        <f t="shared" si="21"/>
        <v>2025</v>
      </c>
      <c r="D471" s="19" t="str">
        <f t="shared" si="22"/>
        <v>Dec</v>
      </c>
      <c r="E471" t="s">
        <v>17</v>
      </c>
      <c r="F471" t="s">
        <v>18</v>
      </c>
      <c r="G471" t="s">
        <v>19</v>
      </c>
      <c r="H471" t="s">
        <v>20</v>
      </c>
      <c r="I471" t="s">
        <v>21</v>
      </c>
      <c r="J471" t="s">
        <v>22</v>
      </c>
      <c r="K471" t="s">
        <v>23</v>
      </c>
      <c r="L471" s="19">
        <v>1</v>
      </c>
      <c r="M471" s="20">
        <v>1816000</v>
      </c>
      <c r="N471" s="20">
        <v>1484500</v>
      </c>
      <c r="O471" s="20">
        <f t="shared" si="23"/>
        <v>331500</v>
      </c>
      <c r="P471" t="s">
        <v>31</v>
      </c>
    </row>
    <row r="472" spans="1:16">
      <c r="A472" t="s">
        <v>552</v>
      </c>
      <c r="B472" s="18">
        <v>46023</v>
      </c>
      <c r="C472" s="19">
        <f t="shared" si="21"/>
        <v>2026</v>
      </c>
      <c r="D472" s="19" t="str">
        <f t="shared" si="22"/>
        <v>Jan</v>
      </c>
      <c r="E472" t="s">
        <v>26</v>
      </c>
      <c r="F472" t="s">
        <v>27</v>
      </c>
      <c r="G472" t="s">
        <v>28</v>
      </c>
      <c r="H472" t="s">
        <v>39</v>
      </c>
      <c r="I472" t="s">
        <v>71</v>
      </c>
      <c r="J472" t="s">
        <v>49</v>
      </c>
      <c r="K472" t="s">
        <v>58</v>
      </c>
      <c r="L472" s="19">
        <v>1</v>
      </c>
      <c r="M472" s="20">
        <v>1020000</v>
      </c>
      <c r="N472" s="20">
        <v>831200</v>
      </c>
      <c r="O472" s="20">
        <f t="shared" si="23"/>
        <v>188800</v>
      </c>
      <c r="P472" t="s">
        <v>78</v>
      </c>
    </row>
    <row r="473" spans="1:16">
      <c r="A473" t="s">
        <v>553</v>
      </c>
      <c r="B473" s="18">
        <v>46023</v>
      </c>
      <c r="C473" s="19">
        <f t="shared" si="21"/>
        <v>2026</v>
      </c>
      <c r="D473" s="19" t="str">
        <f t="shared" si="22"/>
        <v>Jan</v>
      </c>
      <c r="E473" t="s">
        <v>17</v>
      </c>
      <c r="F473" t="s">
        <v>18</v>
      </c>
      <c r="G473" t="s">
        <v>19</v>
      </c>
      <c r="H473" t="s">
        <v>74</v>
      </c>
      <c r="I473" t="s">
        <v>68</v>
      </c>
      <c r="J473" t="s">
        <v>49</v>
      </c>
      <c r="K473" t="s">
        <v>58</v>
      </c>
      <c r="L473" s="19">
        <v>1</v>
      </c>
      <c r="M473" s="20">
        <v>929000</v>
      </c>
      <c r="N473" s="20">
        <v>782800</v>
      </c>
      <c r="O473" s="20">
        <f t="shared" si="23"/>
        <v>146200</v>
      </c>
      <c r="P473" t="s">
        <v>37</v>
      </c>
    </row>
    <row r="474" spans="1:16">
      <c r="A474" t="s">
        <v>554</v>
      </c>
      <c r="B474" s="18">
        <v>46024</v>
      </c>
      <c r="C474" s="19">
        <f t="shared" si="21"/>
        <v>2026</v>
      </c>
      <c r="D474" s="19" t="str">
        <f t="shared" si="22"/>
        <v>Jan</v>
      </c>
      <c r="E474" t="s">
        <v>33</v>
      </c>
      <c r="F474" t="s">
        <v>34</v>
      </c>
      <c r="G474" t="s">
        <v>34</v>
      </c>
      <c r="H474" t="s">
        <v>35</v>
      </c>
      <c r="I474" t="s">
        <v>56</v>
      </c>
      <c r="J474" t="s">
        <v>57</v>
      </c>
      <c r="K474" t="s">
        <v>58</v>
      </c>
      <c r="L474" s="19">
        <v>1</v>
      </c>
      <c r="M474" s="20">
        <v>1252000</v>
      </c>
      <c r="N474" s="20">
        <v>1070100</v>
      </c>
      <c r="O474" s="20">
        <f t="shared" si="23"/>
        <v>181900</v>
      </c>
      <c r="P474" t="s">
        <v>78</v>
      </c>
    </row>
    <row r="475" spans="1:16">
      <c r="A475" t="s">
        <v>555</v>
      </c>
      <c r="B475" s="18">
        <v>46027</v>
      </c>
      <c r="C475" s="19">
        <f t="shared" si="21"/>
        <v>2026</v>
      </c>
      <c r="D475" s="19" t="str">
        <f t="shared" si="22"/>
        <v>Jan</v>
      </c>
      <c r="E475" t="s">
        <v>17</v>
      </c>
      <c r="F475" t="s">
        <v>51</v>
      </c>
      <c r="G475" t="s">
        <v>52</v>
      </c>
      <c r="H475" t="s">
        <v>70</v>
      </c>
      <c r="I475" t="s">
        <v>30</v>
      </c>
      <c r="J475" t="s">
        <v>22</v>
      </c>
      <c r="K475" t="s">
        <v>23</v>
      </c>
      <c r="L475" s="19">
        <v>1</v>
      </c>
      <c r="M475" s="20">
        <v>1787000</v>
      </c>
      <c r="N475" s="20">
        <v>1542300</v>
      </c>
      <c r="O475" s="20">
        <f t="shared" si="23"/>
        <v>244700</v>
      </c>
      <c r="P475" t="s">
        <v>37</v>
      </c>
    </row>
    <row r="476" spans="1:16">
      <c r="A476" t="s">
        <v>556</v>
      </c>
      <c r="B476" s="18">
        <v>46029</v>
      </c>
      <c r="C476" s="19">
        <f t="shared" si="21"/>
        <v>2026</v>
      </c>
      <c r="D476" s="19" t="str">
        <f t="shared" si="22"/>
        <v>Jan</v>
      </c>
      <c r="E476" t="s">
        <v>17</v>
      </c>
      <c r="F476" t="s">
        <v>51</v>
      </c>
      <c r="G476" t="s">
        <v>52</v>
      </c>
      <c r="H476" t="s">
        <v>70</v>
      </c>
      <c r="I476" t="s">
        <v>68</v>
      </c>
      <c r="J476" t="s">
        <v>49</v>
      </c>
      <c r="K476" t="s">
        <v>58</v>
      </c>
      <c r="L476" s="19">
        <v>1</v>
      </c>
      <c r="M476" s="20">
        <v>918000</v>
      </c>
      <c r="N476" s="20">
        <v>806600</v>
      </c>
      <c r="O476" s="20">
        <f t="shared" si="23"/>
        <v>111400</v>
      </c>
      <c r="P476" t="s">
        <v>54</v>
      </c>
    </row>
    <row r="477" spans="1:16">
      <c r="A477" t="s">
        <v>557</v>
      </c>
      <c r="B477" s="18">
        <v>46029</v>
      </c>
      <c r="C477" s="19">
        <f t="shared" si="21"/>
        <v>2026</v>
      </c>
      <c r="D477" s="19" t="str">
        <f t="shared" si="22"/>
        <v>Jan</v>
      </c>
      <c r="E477" t="s">
        <v>17</v>
      </c>
      <c r="F477" t="s">
        <v>51</v>
      </c>
      <c r="G477" t="s">
        <v>52</v>
      </c>
      <c r="H477" t="s">
        <v>70</v>
      </c>
      <c r="I477" t="s">
        <v>63</v>
      </c>
      <c r="J477" t="s">
        <v>41</v>
      </c>
      <c r="K477" t="s">
        <v>58</v>
      </c>
      <c r="L477" s="19">
        <v>1</v>
      </c>
      <c r="M477" s="20">
        <v>1339000</v>
      </c>
      <c r="N477" s="20">
        <v>1101600</v>
      </c>
      <c r="O477" s="20">
        <f t="shared" si="23"/>
        <v>237400</v>
      </c>
      <c r="P477" t="s">
        <v>31</v>
      </c>
    </row>
    <row r="478" spans="1:16">
      <c r="A478" t="s">
        <v>558</v>
      </c>
      <c r="B478" s="18">
        <v>46031</v>
      </c>
      <c r="C478" s="19">
        <f t="shared" si="21"/>
        <v>2026</v>
      </c>
      <c r="D478" s="19" t="str">
        <f t="shared" si="22"/>
        <v>Jan</v>
      </c>
      <c r="E478" t="s">
        <v>17</v>
      </c>
      <c r="F478" t="s">
        <v>51</v>
      </c>
      <c r="G478" t="s">
        <v>98</v>
      </c>
      <c r="H478" t="s">
        <v>99</v>
      </c>
      <c r="I478" t="s">
        <v>63</v>
      </c>
      <c r="J478" t="s">
        <v>41</v>
      </c>
      <c r="K478" t="s">
        <v>58</v>
      </c>
      <c r="L478" s="19">
        <v>1</v>
      </c>
      <c r="M478" s="20">
        <v>1334000</v>
      </c>
      <c r="N478" s="20">
        <v>1123800</v>
      </c>
      <c r="O478" s="20">
        <f t="shared" si="23"/>
        <v>210200</v>
      </c>
      <c r="P478" t="s">
        <v>31</v>
      </c>
    </row>
    <row r="479" spans="1:16">
      <c r="A479" t="s">
        <v>559</v>
      </c>
      <c r="B479" s="18">
        <v>46031</v>
      </c>
      <c r="C479" s="19">
        <f t="shared" si="21"/>
        <v>2026</v>
      </c>
      <c r="D479" s="19" t="str">
        <f t="shared" si="22"/>
        <v>Jan</v>
      </c>
      <c r="E479" t="s">
        <v>26</v>
      </c>
      <c r="F479" t="s">
        <v>27</v>
      </c>
      <c r="G479" t="s">
        <v>28</v>
      </c>
      <c r="H479" t="s">
        <v>29</v>
      </c>
      <c r="I479" t="s">
        <v>68</v>
      </c>
      <c r="J479" t="s">
        <v>49</v>
      </c>
      <c r="K479" t="s">
        <v>58</v>
      </c>
      <c r="L479" s="19">
        <v>1</v>
      </c>
      <c r="M479" s="20">
        <v>896000</v>
      </c>
      <c r="N479" s="20">
        <v>772200</v>
      </c>
      <c r="O479" s="20">
        <f t="shared" si="23"/>
        <v>123800</v>
      </c>
      <c r="P479" t="s">
        <v>24</v>
      </c>
    </row>
    <row r="480" spans="1:16">
      <c r="A480" t="s">
        <v>560</v>
      </c>
      <c r="B480" s="18">
        <v>46031</v>
      </c>
      <c r="C480" s="19">
        <f t="shared" si="21"/>
        <v>2026</v>
      </c>
      <c r="D480" s="19" t="str">
        <f t="shared" si="22"/>
        <v>Jan</v>
      </c>
      <c r="E480" t="s">
        <v>17</v>
      </c>
      <c r="F480" t="s">
        <v>51</v>
      </c>
      <c r="G480" t="s">
        <v>98</v>
      </c>
      <c r="H480" t="s">
        <v>99</v>
      </c>
      <c r="I480" t="s">
        <v>56</v>
      </c>
      <c r="J480" t="s">
        <v>57</v>
      </c>
      <c r="K480" t="s">
        <v>58</v>
      </c>
      <c r="L480" s="19">
        <v>1</v>
      </c>
      <c r="M480" s="20">
        <v>1228000</v>
      </c>
      <c r="N480" s="20">
        <v>1072100</v>
      </c>
      <c r="O480" s="20">
        <f t="shared" si="23"/>
        <v>155900</v>
      </c>
      <c r="P480" t="s">
        <v>31</v>
      </c>
    </row>
    <row r="481" spans="1:16">
      <c r="A481" t="s">
        <v>561</v>
      </c>
      <c r="B481" s="18">
        <v>46032</v>
      </c>
      <c r="C481" s="19">
        <f t="shared" si="21"/>
        <v>2026</v>
      </c>
      <c r="D481" s="19" t="str">
        <f t="shared" si="22"/>
        <v>Jan</v>
      </c>
      <c r="E481" t="s">
        <v>33</v>
      </c>
      <c r="F481" t="s">
        <v>92</v>
      </c>
      <c r="G481" t="s">
        <v>93</v>
      </c>
      <c r="H481" t="s">
        <v>94</v>
      </c>
      <c r="I481" t="s">
        <v>40</v>
      </c>
      <c r="J481" t="s">
        <v>41</v>
      </c>
      <c r="K481" t="s">
        <v>42</v>
      </c>
      <c r="L481" s="19">
        <v>1</v>
      </c>
      <c r="M481" s="20">
        <v>1700000</v>
      </c>
      <c r="N481" s="20">
        <v>1443700</v>
      </c>
      <c r="O481" s="20">
        <f t="shared" si="23"/>
        <v>256300</v>
      </c>
      <c r="P481" t="s">
        <v>72</v>
      </c>
    </row>
    <row r="482" spans="1:16">
      <c r="A482" t="s">
        <v>562</v>
      </c>
      <c r="B482" s="18">
        <v>46032</v>
      </c>
      <c r="C482" s="19">
        <f t="shared" si="21"/>
        <v>2026</v>
      </c>
      <c r="D482" s="19" t="str">
        <f t="shared" si="22"/>
        <v>Jan</v>
      </c>
      <c r="E482" t="s">
        <v>17</v>
      </c>
      <c r="F482" t="s">
        <v>51</v>
      </c>
      <c r="G482" t="s">
        <v>52</v>
      </c>
      <c r="H482" t="s">
        <v>53</v>
      </c>
      <c r="I482" t="s">
        <v>56</v>
      </c>
      <c r="J482" t="s">
        <v>57</v>
      </c>
      <c r="K482" t="s">
        <v>58</v>
      </c>
      <c r="L482" s="19">
        <v>1</v>
      </c>
      <c r="M482" s="20">
        <v>1208000</v>
      </c>
      <c r="N482" s="20">
        <v>980800</v>
      </c>
      <c r="O482" s="20">
        <f t="shared" si="23"/>
        <v>227200</v>
      </c>
      <c r="P482" t="s">
        <v>31</v>
      </c>
    </row>
    <row r="483" spans="1:16">
      <c r="A483" t="s">
        <v>563</v>
      </c>
      <c r="B483" s="18">
        <v>46033</v>
      </c>
      <c r="C483" s="19">
        <f t="shared" si="21"/>
        <v>2026</v>
      </c>
      <c r="D483" s="19" t="str">
        <f t="shared" si="22"/>
        <v>Jan</v>
      </c>
      <c r="E483" t="s">
        <v>17</v>
      </c>
      <c r="F483" t="s">
        <v>18</v>
      </c>
      <c r="G483" t="s">
        <v>19</v>
      </c>
      <c r="H483" t="s">
        <v>20</v>
      </c>
      <c r="I483" t="s">
        <v>63</v>
      </c>
      <c r="J483" t="s">
        <v>41</v>
      </c>
      <c r="K483" t="s">
        <v>58</v>
      </c>
      <c r="L483" s="19">
        <v>1</v>
      </c>
      <c r="M483" s="20">
        <v>1394000</v>
      </c>
      <c r="N483" s="20">
        <v>1175700</v>
      </c>
      <c r="O483" s="20">
        <f t="shared" si="23"/>
        <v>218300</v>
      </c>
      <c r="P483" t="s">
        <v>78</v>
      </c>
    </row>
    <row r="484" spans="1:16">
      <c r="A484" t="s">
        <v>564</v>
      </c>
      <c r="B484" s="18">
        <v>46035</v>
      </c>
      <c r="C484" s="19">
        <f t="shared" si="21"/>
        <v>2026</v>
      </c>
      <c r="D484" s="19" t="str">
        <f t="shared" si="22"/>
        <v>Jan</v>
      </c>
      <c r="E484" t="s">
        <v>17</v>
      </c>
      <c r="F484" t="s">
        <v>18</v>
      </c>
      <c r="G484" t="s">
        <v>19</v>
      </c>
      <c r="H484" t="s">
        <v>20</v>
      </c>
      <c r="I484" t="s">
        <v>30</v>
      </c>
      <c r="J484" t="s">
        <v>22</v>
      </c>
      <c r="K484" t="s">
        <v>23</v>
      </c>
      <c r="L484" s="19">
        <v>1</v>
      </c>
      <c r="M484" s="20">
        <v>1727000</v>
      </c>
      <c r="N484" s="20">
        <v>1473200</v>
      </c>
      <c r="O484" s="20">
        <f t="shared" si="23"/>
        <v>253800</v>
      </c>
      <c r="P484" t="s">
        <v>31</v>
      </c>
    </row>
    <row r="485" spans="1:16">
      <c r="A485" t="s">
        <v>565</v>
      </c>
      <c r="B485" s="18">
        <v>46035</v>
      </c>
      <c r="C485" s="19">
        <f t="shared" si="21"/>
        <v>2026</v>
      </c>
      <c r="D485" s="19" t="str">
        <f t="shared" si="22"/>
        <v>Jan</v>
      </c>
      <c r="E485" t="s">
        <v>33</v>
      </c>
      <c r="F485" t="s">
        <v>34</v>
      </c>
      <c r="G485" t="s">
        <v>34</v>
      </c>
      <c r="H485" t="s">
        <v>35</v>
      </c>
      <c r="I485" t="s">
        <v>121</v>
      </c>
      <c r="J485" t="s">
        <v>57</v>
      </c>
      <c r="K485" t="s">
        <v>42</v>
      </c>
      <c r="L485" s="19">
        <v>1</v>
      </c>
      <c r="M485" s="20">
        <v>1581000</v>
      </c>
      <c r="N485" s="20">
        <v>1289300</v>
      </c>
      <c r="O485" s="20">
        <f t="shared" si="23"/>
        <v>291700</v>
      </c>
      <c r="P485" t="s">
        <v>37</v>
      </c>
    </row>
    <row r="486" spans="1:16">
      <c r="A486" t="s">
        <v>566</v>
      </c>
      <c r="B486" s="18">
        <v>46035</v>
      </c>
      <c r="C486" s="19">
        <f t="shared" si="21"/>
        <v>2026</v>
      </c>
      <c r="D486" s="19" t="str">
        <f t="shared" si="22"/>
        <v>Jan</v>
      </c>
      <c r="E486" t="s">
        <v>26</v>
      </c>
      <c r="F486" t="s">
        <v>131</v>
      </c>
      <c r="G486" t="s">
        <v>132</v>
      </c>
      <c r="H486" t="s">
        <v>133</v>
      </c>
      <c r="I486" t="s">
        <v>68</v>
      </c>
      <c r="J486" t="s">
        <v>49</v>
      </c>
      <c r="K486" t="s">
        <v>58</v>
      </c>
      <c r="L486" s="19">
        <v>1</v>
      </c>
      <c r="M486" s="20">
        <v>901000</v>
      </c>
      <c r="N486" s="20">
        <v>784800</v>
      </c>
      <c r="O486" s="20">
        <f t="shared" si="23"/>
        <v>116200</v>
      </c>
      <c r="P486" t="s">
        <v>24</v>
      </c>
    </row>
    <row r="487" spans="1:16">
      <c r="A487" t="s">
        <v>567</v>
      </c>
      <c r="B487" s="18">
        <v>46035</v>
      </c>
      <c r="C487" s="19">
        <f t="shared" si="21"/>
        <v>2026</v>
      </c>
      <c r="D487" s="19" t="str">
        <f t="shared" si="22"/>
        <v>Jan</v>
      </c>
      <c r="E487" t="s">
        <v>44</v>
      </c>
      <c r="F487" t="s">
        <v>118</v>
      </c>
      <c r="G487" t="s">
        <v>119</v>
      </c>
      <c r="H487" t="s">
        <v>120</v>
      </c>
      <c r="I487" t="s">
        <v>21</v>
      </c>
      <c r="J487" t="s">
        <v>22</v>
      </c>
      <c r="K487" t="s">
        <v>23</v>
      </c>
      <c r="L487" s="19">
        <v>1</v>
      </c>
      <c r="M487" s="20">
        <v>1795000</v>
      </c>
      <c r="N487" s="20">
        <v>1530100</v>
      </c>
      <c r="O487" s="20">
        <f t="shared" si="23"/>
        <v>264900</v>
      </c>
      <c r="P487" t="s">
        <v>54</v>
      </c>
    </row>
    <row r="488" spans="1:16">
      <c r="A488" t="s">
        <v>568</v>
      </c>
      <c r="B488" s="18">
        <v>46035</v>
      </c>
      <c r="C488" s="19">
        <f t="shared" si="21"/>
        <v>2026</v>
      </c>
      <c r="D488" s="19" t="str">
        <f t="shared" si="22"/>
        <v>Jan</v>
      </c>
      <c r="E488" t="s">
        <v>17</v>
      </c>
      <c r="F488" t="s">
        <v>51</v>
      </c>
      <c r="G488" t="s">
        <v>52</v>
      </c>
      <c r="H488" t="s">
        <v>70</v>
      </c>
      <c r="I488" t="s">
        <v>71</v>
      </c>
      <c r="J488" t="s">
        <v>49</v>
      </c>
      <c r="K488" t="s">
        <v>58</v>
      </c>
      <c r="L488" s="19">
        <v>2</v>
      </c>
      <c r="M488" s="20">
        <v>1954000</v>
      </c>
      <c r="N488" s="20">
        <v>1648900</v>
      </c>
      <c r="O488" s="20">
        <f t="shared" si="23"/>
        <v>305100</v>
      </c>
      <c r="P488" t="s">
        <v>54</v>
      </c>
    </row>
    <row r="489" spans="1:16">
      <c r="A489" t="s">
        <v>569</v>
      </c>
      <c r="B489" s="18">
        <v>46036</v>
      </c>
      <c r="C489" s="19">
        <f t="shared" si="21"/>
        <v>2026</v>
      </c>
      <c r="D489" s="19" t="str">
        <f t="shared" si="22"/>
        <v>Jan</v>
      </c>
      <c r="E489" t="s">
        <v>17</v>
      </c>
      <c r="F489" t="s">
        <v>18</v>
      </c>
      <c r="G489" t="s">
        <v>19</v>
      </c>
      <c r="H489" t="s">
        <v>74</v>
      </c>
      <c r="I489" t="s">
        <v>30</v>
      </c>
      <c r="J489" t="s">
        <v>22</v>
      </c>
      <c r="K489" t="s">
        <v>23</v>
      </c>
      <c r="L489" s="19">
        <v>1</v>
      </c>
      <c r="M489" s="20">
        <v>1854000</v>
      </c>
      <c r="N489" s="20">
        <v>1545100</v>
      </c>
      <c r="O489" s="20">
        <f t="shared" si="23"/>
        <v>308900</v>
      </c>
      <c r="P489" t="s">
        <v>31</v>
      </c>
    </row>
    <row r="490" spans="1:16">
      <c r="A490" t="s">
        <v>570</v>
      </c>
      <c r="B490" s="18">
        <v>46037</v>
      </c>
      <c r="C490" s="19">
        <f t="shared" si="21"/>
        <v>2026</v>
      </c>
      <c r="D490" s="19" t="str">
        <f t="shared" si="22"/>
        <v>Jan</v>
      </c>
      <c r="E490" t="s">
        <v>33</v>
      </c>
      <c r="F490" t="s">
        <v>34</v>
      </c>
      <c r="G490" t="s">
        <v>34</v>
      </c>
      <c r="H490" t="s">
        <v>102</v>
      </c>
      <c r="I490" t="s">
        <v>48</v>
      </c>
      <c r="J490" t="s">
        <v>49</v>
      </c>
      <c r="K490" t="s">
        <v>42</v>
      </c>
      <c r="L490" s="19">
        <v>1</v>
      </c>
      <c r="M490" s="20">
        <v>1193000</v>
      </c>
      <c r="N490" s="20">
        <v>970800</v>
      </c>
      <c r="O490" s="20">
        <f t="shared" si="23"/>
        <v>222200</v>
      </c>
      <c r="P490" t="s">
        <v>31</v>
      </c>
    </row>
    <row r="491" spans="1:16">
      <c r="A491" t="s">
        <v>571</v>
      </c>
      <c r="B491" s="18">
        <v>46039</v>
      </c>
      <c r="C491" s="19">
        <f t="shared" si="21"/>
        <v>2026</v>
      </c>
      <c r="D491" s="19" t="str">
        <f t="shared" si="22"/>
        <v>Jan</v>
      </c>
      <c r="E491" t="s">
        <v>26</v>
      </c>
      <c r="F491" t="s">
        <v>27</v>
      </c>
      <c r="G491" t="s">
        <v>28</v>
      </c>
      <c r="H491" t="s">
        <v>29</v>
      </c>
      <c r="I491" t="s">
        <v>48</v>
      </c>
      <c r="J491" t="s">
        <v>49</v>
      </c>
      <c r="K491" t="s">
        <v>42</v>
      </c>
      <c r="L491" s="19">
        <v>1</v>
      </c>
      <c r="M491" s="20">
        <v>1190000</v>
      </c>
      <c r="N491" s="20">
        <v>1004800</v>
      </c>
      <c r="O491" s="20">
        <f t="shared" si="23"/>
        <v>185200</v>
      </c>
      <c r="P491" t="s">
        <v>31</v>
      </c>
    </row>
    <row r="492" spans="1:16">
      <c r="A492" t="s">
        <v>572</v>
      </c>
      <c r="B492" s="18">
        <v>46039</v>
      </c>
      <c r="C492" s="19">
        <f t="shared" si="21"/>
        <v>2026</v>
      </c>
      <c r="D492" s="19" t="str">
        <f t="shared" si="22"/>
        <v>Jan</v>
      </c>
      <c r="E492" t="s">
        <v>26</v>
      </c>
      <c r="F492" t="s">
        <v>131</v>
      </c>
      <c r="G492" t="s">
        <v>132</v>
      </c>
      <c r="H492" t="s">
        <v>133</v>
      </c>
      <c r="I492" t="s">
        <v>171</v>
      </c>
      <c r="J492" t="s">
        <v>22</v>
      </c>
      <c r="K492" t="s">
        <v>42</v>
      </c>
      <c r="L492" s="19">
        <v>1</v>
      </c>
      <c r="M492" s="20">
        <v>6171000</v>
      </c>
      <c r="N492" s="20">
        <v>5120700</v>
      </c>
      <c r="O492" s="20">
        <f t="shared" si="23"/>
        <v>1050300</v>
      </c>
      <c r="P492" t="s">
        <v>31</v>
      </c>
    </row>
    <row r="493" spans="1:16">
      <c r="A493" t="s">
        <v>573</v>
      </c>
      <c r="B493" s="18">
        <v>46041</v>
      </c>
      <c r="C493" s="19">
        <f t="shared" si="21"/>
        <v>2026</v>
      </c>
      <c r="D493" s="19" t="str">
        <f t="shared" si="22"/>
        <v>Jan</v>
      </c>
      <c r="E493" t="s">
        <v>17</v>
      </c>
      <c r="F493" t="s">
        <v>51</v>
      </c>
      <c r="G493" t="s">
        <v>98</v>
      </c>
      <c r="H493" t="s">
        <v>99</v>
      </c>
      <c r="I493" t="s">
        <v>121</v>
      </c>
      <c r="J493" t="s">
        <v>57</v>
      </c>
      <c r="K493" t="s">
        <v>42</v>
      </c>
      <c r="L493" s="19">
        <v>1</v>
      </c>
      <c r="M493" s="20">
        <v>1575000</v>
      </c>
      <c r="N493" s="20">
        <v>1275800</v>
      </c>
      <c r="O493" s="20">
        <f t="shared" si="23"/>
        <v>299200</v>
      </c>
      <c r="P493" t="s">
        <v>31</v>
      </c>
    </row>
    <row r="494" spans="1:16">
      <c r="A494" t="s">
        <v>574</v>
      </c>
      <c r="B494" s="18">
        <v>46042</v>
      </c>
      <c r="C494" s="19">
        <f t="shared" si="21"/>
        <v>2026</v>
      </c>
      <c r="D494" s="19" t="str">
        <f t="shared" si="22"/>
        <v>Jan</v>
      </c>
      <c r="E494" t="s">
        <v>26</v>
      </c>
      <c r="F494" t="s">
        <v>27</v>
      </c>
      <c r="G494" t="s">
        <v>28</v>
      </c>
      <c r="H494" t="s">
        <v>39</v>
      </c>
      <c r="I494" t="s">
        <v>56</v>
      </c>
      <c r="J494" t="s">
        <v>57</v>
      </c>
      <c r="K494" t="s">
        <v>58</v>
      </c>
      <c r="L494" s="19">
        <v>1</v>
      </c>
      <c r="M494" s="20">
        <v>1240000</v>
      </c>
      <c r="N494" s="20">
        <v>1041600</v>
      </c>
      <c r="O494" s="20">
        <f t="shared" si="23"/>
        <v>198400</v>
      </c>
      <c r="P494" t="s">
        <v>54</v>
      </c>
    </row>
    <row r="495" spans="1:16">
      <c r="A495" t="s">
        <v>575</v>
      </c>
      <c r="B495" s="18">
        <v>46042</v>
      </c>
      <c r="C495" s="19">
        <f t="shared" si="21"/>
        <v>2026</v>
      </c>
      <c r="D495" s="19" t="str">
        <f t="shared" si="22"/>
        <v>Jan</v>
      </c>
      <c r="E495" t="s">
        <v>44</v>
      </c>
      <c r="F495" t="s">
        <v>45</v>
      </c>
      <c r="G495" t="s">
        <v>46</v>
      </c>
      <c r="H495" t="s">
        <v>47</v>
      </c>
      <c r="I495" t="s">
        <v>48</v>
      </c>
      <c r="J495" t="s">
        <v>49</v>
      </c>
      <c r="K495" t="s">
        <v>42</v>
      </c>
      <c r="L495" s="19">
        <v>1</v>
      </c>
      <c r="M495" s="20">
        <v>1240000</v>
      </c>
      <c r="N495" s="20">
        <v>1087800</v>
      </c>
      <c r="O495" s="20">
        <f t="shared" si="23"/>
        <v>152200</v>
      </c>
      <c r="P495" t="s">
        <v>31</v>
      </c>
    </row>
    <row r="496" spans="1:16">
      <c r="A496" t="s">
        <v>576</v>
      </c>
      <c r="B496" s="18">
        <v>46043</v>
      </c>
      <c r="C496" s="19">
        <f t="shared" si="21"/>
        <v>2026</v>
      </c>
      <c r="D496" s="19" t="str">
        <f t="shared" si="22"/>
        <v>Jan</v>
      </c>
      <c r="E496" t="s">
        <v>33</v>
      </c>
      <c r="F496" t="s">
        <v>34</v>
      </c>
      <c r="G496" t="s">
        <v>34</v>
      </c>
      <c r="H496" t="s">
        <v>102</v>
      </c>
      <c r="I496" t="s">
        <v>68</v>
      </c>
      <c r="J496" t="s">
        <v>49</v>
      </c>
      <c r="K496" t="s">
        <v>58</v>
      </c>
      <c r="L496" s="19">
        <v>1</v>
      </c>
      <c r="M496" s="20">
        <v>943000</v>
      </c>
      <c r="N496" s="20">
        <v>792300</v>
      </c>
      <c r="O496" s="20">
        <f t="shared" si="23"/>
        <v>150700</v>
      </c>
      <c r="P496" t="s">
        <v>72</v>
      </c>
    </row>
    <row r="497" spans="1:16">
      <c r="A497" t="s">
        <v>577</v>
      </c>
      <c r="B497" s="18">
        <v>46043</v>
      </c>
      <c r="C497" s="19">
        <f t="shared" si="21"/>
        <v>2026</v>
      </c>
      <c r="D497" s="19" t="str">
        <f t="shared" si="22"/>
        <v>Jan</v>
      </c>
      <c r="E497" t="s">
        <v>17</v>
      </c>
      <c r="F497" t="s">
        <v>18</v>
      </c>
      <c r="G497" t="s">
        <v>19</v>
      </c>
      <c r="H497" t="s">
        <v>74</v>
      </c>
      <c r="I497" t="s">
        <v>21</v>
      </c>
      <c r="J497" t="s">
        <v>22</v>
      </c>
      <c r="K497" t="s">
        <v>23</v>
      </c>
      <c r="L497" s="19">
        <v>1</v>
      </c>
      <c r="M497" s="20">
        <v>1913000</v>
      </c>
      <c r="N497" s="20">
        <v>1567000</v>
      </c>
      <c r="O497" s="20">
        <f t="shared" si="23"/>
        <v>346000</v>
      </c>
      <c r="P497" t="s">
        <v>24</v>
      </c>
    </row>
    <row r="498" spans="1:16">
      <c r="A498" t="s">
        <v>578</v>
      </c>
      <c r="B498" s="18">
        <v>46043</v>
      </c>
      <c r="C498" s="19">
        <f t="shared" si="21"/>
        <v>2026</v>
      </c>
      <c r="D498" s="19" t="str">
        <f t="shared" si="22"/>
        <v>Jan</v>
      </c>
      <c r="E498" t="s">
        <v>33</v>
      </c>
      <c r="F498" t="s">
        <v>34</v>
      </c>
      <c r="G498" t="s">
        <v>34</v>
      </c>
      <c r="H498" t="s">
        <v>35</v>
      </c>
      <c r="I498" t="s">
        <v>48</v>
      </c>
      <c r="J498" t="s">
        <v>49</v>
      </c>
      <c r="K498" t="s">
        <v>42</v>
      </c>
      <c r="L498" s="19">
        <v>1</v>
      </c>
      <c r="M498" s="20">
        <v>1227000</v>
      </c>
      <c r="N498" s="20">
        <v>1043500</v>
      </c>
      <c r="O498" s="20">
        <f t="shared" si="23"/>
        <v>183500</v>
      </c>
      <c r="P498" t="s">
        <v>24</v>
      </c>
    </row>
    <row r="499" spans="1:16">
      <c r="A499" t="s">
        <v>579</v>
      </c>
      <c r="B499" s="18">
        <v>46043</v>
      </c>
      <c r="C499" s="19">
        <f t="shared" si="21"/>
        <v>2026</v>
      </c>
      <c r="D499" s="19" t="str">
        <f t="shared" si="22"/>
        <v>Jan</v>
      </c>
      <c r="E499" t="s">
        <v>17</v>
      </c>
      <c r="F499" t="s">
        <v>18</v>
      </c>
      <c r="G499" t="s">
        <v>60</v>
      </c>
      <c r="H499" t="s">
        <v>61</v>
      </c>
      <c r="I499" t="s">
        <v>56</v>
      </c>
      <c r="J499" t="s">
        <v>57</v>
      </c>
      <c r="K499" t="s">
        <v>58</v>
      </c>
      <c r="L499" s="19">
        <v>1</v>
      </c>
      <c r="M499" s="20">
        <v>1240000</v>
      </c>
      <c r="N499" s="20">
        <v>1089500</v>
      </c>
      <c r="O499" s="20">
        <f t="shared" si="23"/>
        <v>150500</v>
      </c>
      <c r="P499" t="s">
        <v>31</v>
      </c>
    </row>
    <row r="500" spans="1:16">
      <c r="A500" t="s">
        <v>580</v>
      </c>
      <c r="B500" s="18">
        <v>46044</v>
      </c>
      <c r="C500" s="19">
        <f t="shared" si="21"/>
        <v>2026</v>
      </c>
      <c r="D500" s="19" t="str">
        <f t="shared" si="22"/>
        <v>Jan</v>
      </c>
      <c r="E500" t="s">
        <v>26</v>
      </c>
      <c r="F500" t="s">
        <v>65</v>
      </c>
      <c r="G500" t="s">
        <v>66</v>
      </c>
      <c r="H500" t="s">
        <v>67</v>
      </c>
      <c r="I500" t="s">
        <v>68</v>
      </c>
      <c r="J500" t="s">
        <v>49</v>
      </c>
      <c r="K500" t="s">
        <v>58</v>
      </c>
      <c r="L500" s="19">
        <v>1</v>
      </c>
      <c r="M500" s="20">
        <v>900000</v>
      </c>
      <c r="N500" s="20">
        <v>721900</v>
      </c>
      <c r="O500" s="20">
        <f t="shared" si="23"/>
        <v>178100</v>
      </c>
      <c r="P500" t="s">
        <v>31</v>
      </c>
    </row>
    <row r="501" spans="1:16">
      <c r="A501" t="s">
        <v>581</v>
      </c>
      <c r="B501" s="18">
        <v>46044</v>
      </c>
      <c r="C501" s="19">
        <f t="shared" si="21"/>
        <v>2026</v>
      </c>
      <c r="D501" s="19" t="str">
        <f t="shared" si="22"/>
        <v>Jan</v>
      </c>
      <c r="E501" t="s">
        <v>17</v>
      </c>
      <c r="F501" t="s">
        <v>51</v>
      </c>
      <c r="G501" t="s">
        <v>52</v>
      </c>
      <c r="H501" t="s">
        <v>53</v>
      </c>
      <c r="I501" t="s">
        <v>71</v>
      </c>
      <c r="J501" t="s">
        <v>49</v>
      </c>
      <c r="K501" t="s">
        <v>58</v>
      </c>
      <c r="L501" s="19">
        <v>1</v>
      </c>
      <c r="M501" s="20">
        <v>1023000</v>
      </c>
      <c r="N501" s="20">
        <v>850800</v>
      </c>
      <c r="O501" s="20">
        <f t="shared" si="23"/>
        <v>172200</v>
      </c>
      <c r="P501" t="s">
        <v>31</v>
      </c>
    </row>
    <row r="502" spans="1:16">
      <c r="A502" t="s">
        <v>582</v>
      </c>
      <c r="B502" s="18">
        <v>46045</v>
      </c>
      <c r="C502" s="19">
        <f t="shared" si="21"/>
        <v>2026</v>
      </c>
      <c r="D502" s="19" t="str">
        <f t="shared" si="22"/>
        <v>Jan</v>
      </c>
      <c r="E502" t="s">
        <v>17</v>
      </c>
      <c r="F502" t="s">
        <v>18</v>
      </c>
      <c r="G502" t="s">
        <v>19</v>
      </c>
      <c r="H502" t="s">
        <v>20</v>
      </c>
      <c r="I502" t="s">
        <v>48</v>
      </c>
      <c r="J502" t="s">
        <v>49</v>
      </c>
      <c r="K502" t="s">
        <v>42</v>
      </c>
      <c r="L502" s="19">
        <v>1</v>
      </c>
      <c r="M502" s="20">
        <v>1194000</v>
      </c>
      <c r="N502" s="20">
        <v>965200</v>
      </c>
      <c r="O502" s="20">
        <f t="shared" si="23"/>
        <v>228800</v>
      </c>
      <c r="P502" t="s">
        <v>31</v>
      </c>
    </row>
    <row r="503" spans="1:16">
      <c r="A503" t="s">
        <v>583</v>
      </c>
      <c r="B503" s="18">
        <v>46045</v>
      </c>
      <c r="C503" s="19">
        <f t="shared" si="21"/>
        <v>2026</v>
      </c>
      <c r="D503" s="19" t="str">
        <f t="shared" si="22"/>
        <v>Jan</v>
      </c>
      <c r="E503" t="s">
        <v>26</v>
      </c>
      <c r="F503" t="s">
        <v>65</v>
      </c>
      <c r="G503" t="s">
        <v>66</v>
      </c>
      <c r="H503" t="s">
        <v>67</v>
      </c>
      <c r="I503" t="s">
        <v>30</v>
      </c>
      <c r="J503" t="s">
        <v>22</v>
      </c>
      <c r="K503" t="s">
        <v>23</v>
      </c>
      <c r="L503" s="19">
        <v>1</v>
      </c>
      <c r="M503" s="20">
        <v>1825000</v>
      </c>
      <c r="N503" s="20">
        <v>1587300</v>
      </c>
      <c r="O503" s="20">
        <f t="shared" si="23"/>
        <v>237700</v>
      </c>
      <c r="P503" t="s">
        <v>31</v>
      </c>
    </row>
    <row r="504" spans="1:16">
      <c r="A504" t="s">
        <v>584</v>
      </c>
      <c r="B504" s="18">
        <v>46047</v>
      </c>
      <c r="C504" s="19">
        <f t="shared" si="21"/>
        <v>2026</v>
      </c>
      <c r="D504" s="19" t="str">
        <f t="shared" si="22"/>
        <v>Jan</v>
      </c>
      <c r="E504" t="s">
        <v>44</v>
      </c>
      <c r="F504" t="s">
        <v>45</v>
      </c>
      <c r="G504" t="s">
        <v>46</v>
      </c>
      <c r="H504" t="s">
        <v>47</v>
      </c>
      <c r="I504" t="s">
        <v>71</v>
      </c>
      <c r="J504" t="s">
        <v>49</v>
      </c>
      <c r="K504" t="s">
        <v>58</v>
      </c>
      <c r="L504" s="19">
        <v>1</v>
      </c>
      <c r="M504" s="20">
        <v>1011000</v>
      </c>
      <c r="N504" s="20">
        <v>818400</v>
      </c>
      <c r="O504" s="20">
        <f t="shared" si="23"/>
        <v>192600</v>
      </c>
      <c r="P504" t="s">
        <v>31</v>
      </c>
    </row>
    <row r="505" spans="1:16">
      <c r="A505" t="s">
        <v>585</v>
      </c>
      <c r="B505" s="18">
        <v>46047</v>
      </c>
      <c r="C505" s="19">
        <f t="shared" si="21"/>
        <v>2026</v>
      </c>
      <c r="D505" s="19" t="str">
        <f t="shared" si="22"/>
        <v>Jan</v>
      </c>
      <c r="E505" t="s">
        <v>17</v>
      </c>
      <c r="F505" t="s">
        <v>51</v>
      </c>
      <c r="G505" t="s">
        <v>52</v>
      </c>
      <c r="H505" t="s">
        <v>70</v>
      </c>
      <c r="I505" t="s">
        <v>48</v>
      </c>
      <c r="J505" t="s">
        <v>49</v>
      </c>
      <c r="K505" t="s">
        <v>42</v>
      </c>
      <c r="L505" s="19">
        <v>1</v>
      </c>
      <c r="M505" s="20">
        <v>1212000</v>
      </c>
      <c r="N505" s="20">
        <v>1032400</v>
      </c>
      <c r="O505" s="20">
        <f t="shared" si="23"/>
        <v>179600</v>
      </c>
      <c r="P505" t="s">
        <v>24</v>
      </c>
    </row>
    <row r="506" spans="1:16">
      <c r="A506" t="s">
        <v>586</v>
      </c>
      <c r="B506" s="18">
        <v>46048</v>
      </c>
      <c r="C506" s="19">
        <f t="shared" si="21"/>
        <v>2026</v>
      </c>
      <c r="D506" s="19" t="str">
        <f t="shared" si="22"/>
        <v>Jan</v>
      </c>
      <c r="E506" t="s">
        <v>26</v>
      </c>
      <c r="F506" t="s">
        <v>27</v>
      </c>
      <c r="G506" t="s">
        <v>28</v>
      </c>
      <c r="H506" t="s">
        <v>29</v>
      </c>
      <c r="I506" t="s">
        <v>48</v>
      </c>
      <c r="J506" t="s">
        <v>49</v>
      </c>
      <c r="K506" t="s">
        <v>42</v>
      </c>
      <c r="L506" s="19">
        <v>1</v>
      </c>
      <c r="M506" s="20">
        <v>1193000</v>
      </c>
      <c r="N506" s="20">
        <v>1036300</v>
      </c>
      <c r="O506" s="20">
        <f t="shared" si="23"/>
        <v>156700</v>
      </c>
      <c r="P506" t="s">
        <v>78</v>
      </c>
    </row>
    <row r="507" spans="1:16">
      <c r="A507" t="s">
        <v>587</v>
      </c>
      <c r="B507" s="18">
        <v>46049</v>
      </c>
      <c r="C507" s="19">
        <f t="shared" si="21"/>
        <v>2026</v>
      </c>
      <c r="D507" s="19" t="str">
        <f t="shared" si="22"/>
        <v>Jan</v>
      </c>
      <c r="E507" t="s">
        <v>44</v>
      </c>
      <c r="F507" t="s">
        <v>45</v>
      </c>
      <c r="G507" t="s">
        <v>46</v>
      </c>
      <c r="H507" t="s">
        <v>47</v>
      </c>
      <c r="I507" t="s">
        <v>68</v>
      </c>
      <c r="J507" t="s">
        <v>49</v>
      </c>
      <c r="K507" t="s">
        <v>58</v>
      </c>
      <c r="L507" s="19">
        <v>1</v>
      </c>
      <c r="M507" s="20">
        <v>950000</v>
      </c>
      <c r="N507" s="20">
        <v>772400</v>
      </c>
      <c r="O507" s="20">
        <f t="shared" si="23"/>
        <v>177600</v>
      </c>
      <c r="P507" t="s">
        <v>31</v>
      </c>
    </row>
    <row r="508" spans="1:16">
      <c r="A508" t="s">
        <v>588</v>
      </c>
      <c r="B508" s="18">
        <v>46050</v>
      </c>
      <c r="C508" s="19">
        <f t="shared" si="21"/>
        <v>2026</v>
      </c>
      <c r="D508" s="19" t="str">
        <f t="shared" si="22"/>
        <v>Jan</v>
      </c>
      <c r="E508" t="s">
        <v>26</v>
      </c>
      <c r="F508" t="s">
        <v>27</v>
      </c>
      <c r="G508" t="s">
        <v>28</v>
      </c>
      <c r="H508" t="s">
        <v>39</v>
      </c>
      <c r="I508" t="s">
        <v>56</v>
      </c>
      <c r="J508" t="s">
        <v>57</v>
      </c>
      <c r="K508" t="s">
        <v>58</v>
      </c>
      <c r="L508" s="19">
        <v>1</v>
      </c>
      <c r="M508" s="20">
        <v>1262000</v>
      </c>
      <c r="N508" s="20">
        <v>1037700</v>
      </c>
      <c r="O508" s="20">
        <f t="shared" si="23"/>
        <v>224300</v>
      </c>
      <c r="P508" t="s">
        <v>31</v>
      </c>
    </row>
    <row r="509" spans="1:16">
      <c r="A509" t="s">
        <v>589</v>
      </c>
      <c r="B509" s="18">
        <v>46050</v>
      </c>
      <c r="C509" s="19">
        <f t="shared" si="21"/>
        <v>2026</v>
      </c>
      <c r="D509" s="19" t="str">
        <f t="shared" si="22"/>
        <v>Jan</v>
      </c>
      <c r="E509" t="s">
        <v>17</v>
      </c>
      <c r="F509" t="s">
        <v>51</v>
      </c>
      <c r="G509" t="s">
        <v>52</v>
      </c>
      <c r="H509" t="s">
        <v>53</v>
      </c>
      <c r="I509" t="s">
        <v>121</v>
      </c>
      <c r="J509" t="s">
        <v>57</v>
      </c>
      <c r="K509" t="s">
        <v>42</v>
      </c>
      <c r="L509" s="19">
        <v>1</v>
      </c>
      <c r="M509" s="20">
        <v>1552000</v>
      </c>
      <c r="N509" s="20">
        <v>1356000</v>
      </c>
      <c r="O509" s="20">
        <f t="shared" si="23"/>
        <v>196000</v>
      </c>
      <c r="P509" t="s">
        <v>31</v>
      </c>
    </row>
    <row r="510" spans="1:16">
      <c r="A510" t="s">
        <v>590</v>
      </c>
      <c r="B510" s="18">
        <v>46050</v>
      </c>
      <c r="C510" s="19">
        <f t="shared" si="21"/>
        <v>2026</v>
      </c>
      <c r="D510" s="19" t="str">
        <f t="shared" si="22"/>
        <v>Jan</v>
      </c>
      <c r="E510" t="s">
        <v>17</v>
      </c>
      <c r="F510" t="s">
        <v>51</v>
      </c>
      <c r="G510" t="s">
        <v>52</v>
      </c>
      <c r="H510" t="s">
        <v>70</v>
      </c>
      <c r="I510" t="s">
        <v>21</v>
      </c>
      <c r="J510" t="s">
        <v>22</v>
      </c>
      <c r="K510" t="s">
        <v>23</v>
      </c>
      <c r="L510" s="19">
        <v>1</v>
      </c>
      <c r="M510" s="20">
        <v>1829000</v>
      </c>
      <c r="N510" s="20">
        <v>1513200</v>
      </c>
      <c r="O510" s="20">
        <f t="shared" si="23"/>
        <v>315800</v>
      </c>
      <c r="P510" t="s">
        <v>24</v>
      </c>
    </row>
    <row r="511" spans="1:16">
      <c r="A511" t="s">
        <v>591</v>
      </c>
      <c r="B511" s="18">
        <v>46052</v>
      </c>
      <c r="C511" s="19">
        <f t="shared" si="21"/>
        <v>2026</v>
      </c>
      <c r="D511" s="19" t="str">
        <f t="shared" si="22"/>
        <v>Jan</v>
      </c>
      <c r="E511" t="s">
        <v>17</v>
      </c>
      <c r="F511" t="s">
        <v>51</v>
      </c>
      <c r="G511" t="s">
        <v>98</v>
      </c>
      <c r="H511" t="s">
        <v>99</v>
      </c>
      <c r="I511" t="s">
        <v>68</v>
      </c>
      <c r="J511" t="s">
        <v>49</v>
      </c>
      <c r="K511" t="s">
        <v>58</v>
      </c>
      <c r="L511" s="19">
        <v>1</v>
      </c>
      <c r="M511" s="20">
        <v>952000</v>
      </c>
      <c r="N511" s="20">
        <v>817000</v>
      </c>
      <c r="O511" s="20">
        <f t="shared" si="23"/>
        <v>135000</v>
      </c>
      <c r="P511" t="s">
        <v>54</v>
      </c>
    </row>
    <row r="512" spans="1:16">
      <c r="A512" t="s">
        <v>592</v>
      </c>
      <c r="B512" s="18">
        <v>46053</v>
      </c>
      <c r="C512" s="19">
        <f t="shared" si="21"/>
        <v>2026</v>
      </c>
      <c r="D512" s="19" t="str">
        <f t="shared" si="22"/>
        <v>Jan</v>
      </c>
      <c r="E512" t="s">
        <v>17</v>
      </c>
      <c r="F512" t="s">
        <v>51</v>
      </c>
      <c r="G512" t="s">
        <v>52</v>
      </c>
      <c r="H512" t="s">
        <v>53</v>
      </c>
      <c r="I512" t="s">
        <v>63</v>
      </c>
      <c r="J512" t="s">
        <v>41</v>
      </c>
      <c r="K512" t="s">
        <v>58</v>
      </c>
      <c r="L512" s="19">
        <v>1</v>
      </c>
      <c r="M512" s="20">
        <v>1328000</v>
      </c>
      <c r="N512" s="20">
        <v>1163400</v>
      </c>
      <c r="O512" s="20">
        <f t="shared" si="23"/>
        <v>164600</v>
      </c>
      <c r="P512" t="s">
        <v>54</v>
      </c>
    </row>
    <row r="513" spans="1:16">
      <c r="A513" t="s">
        <v>593</v>
      </c>
      <c r="B513" s="18">
        <v>46054</v>
      </c>
      <c r="C513" s="19">
        <f t="shared" si="21"/>
        <v>2026</v>
      </c>
      <c r="D513" s="19" t="str">
        <f t="shared" si="22"/>
        <v>Feb</v>
      </c>
      <c r="E513" t="s">
        <v>17</v>
      </c>
      <c r="F513" t="s">
        <v>18</v>
      </c>
      <c r="G513" t="s">
        <v>60</v>
      </c>
      <c r="H513" t="s">
        <v>61</v>
      </c>
      <c r="I513" t="s">
        <v>63</v>
      </c>
      <c r="J513" t="s">
        <v>41</v>
      </c>
      <c r="K513" t="s">
        <v>58</v>
      </c>
      <c r="L513" s="19">
        <v>1</v>
      </c>
      <c r="M513" s="20">
        <v>1351000</v>
      </c>
      <c r="N513" s="20">
        <v>1114100</v>
      </c>
      <c r="O513" s="20">
        <f t="shared" si="23"/>
        <v>236900</v>
      </c>
      <c r="P513" t="s">
        <v>72</v>
      </c>
    </row>
    <row r="514" spans="1:16">
      <c r="A514" t="s">
        <v>594</v>
      </c>
      <c r="B514" s="18">
        <v>46056</v>
      </c>
      <c r="C514" s="19">
        <f t="shared" ref="C514:C577" si="24">YEAR(B514)</f>
        <v>2026</v>
      </c>
      <c r="D514" s="19" t="str">
        <f t="shared" ref="D514:D577" si="25">CHOOSE(MONTH(B514),"Jan","Feb","Mar","Apr","May","Jun","Jul","Aug","Sep","Oct","Nov","Dec")</f>
        <v>Feb</v>
      </c>
      <c r="E514" t="s">
        <v>17</v>
      </c>
      <c r="F514" t="s">
        <v>51</v>
      </c>
      <c r="G514" t="s">
        <v>52</v>
      </c>
      <c r="H514" t="s">
        <v>53</v>
      </c>
      <c r="I514" t="s">
        <v>171</v>
      </c>
      <c r="J514" t="s">
        <v>22</v>
      </c>
      <c r="K514" t="s">
        <v>42</v>
      </c>
      <c r="L514" s="19">
        <v>1</v>
      </c>
      <c r="M514" s="20">
        <v>6313000</v>
      </c>
      <c r="N514" s="20">
        <v>5129700</v>
      </c>
      <c r="O514" s="20">
        <f t="shared" ref="O514:O577" si="26">M514-N514</f>
        <v>1183300</v>
      </c>
      <c r="P514" t="s">
        <v>54</v>
      </c>
    </row>
    <row r="515" spans="1:16">
      <c r="A515" t="s">
        <v>595</v>
      </c>
      <c r="B515" s="18">
        <v>46056</v>
      </c>
      <c r="C515" s="19">
        <f t="shared" si="24"/>
        <v>2026</v>
      </c>
      <c r="D515" s="19" t="str">
        <f t="shared" si="25"/>
        <v>Feb</v>
      </c>
      <c r="E515" t="s">
        <v>33</v>
      </c>
      <c r="F515" t="s">
        <v>81</v>
      </c>
      <c r="G515" t="s">
        <v>82</v>
      </c>
      <c r="H515" t="s">
        <v>83</v>
      </c>
      <c r="I515" t="s">
        <v>121</v>
      </c>
      <c r="J515" t="s">
        <v>57</v>
      </c>
      <c r="K515" t="s">
        <v>42</v>
      </c>
      <c r="L515" s="19">
        <v>1</v>
      </c>
      <c r="M515" s="20">
        <v>1560000</v>
      </c>
      <c r="N515" s="20">
        <v>1328500</v>
      </c>
      <c r="O515" s="20">
        <f t="shared" si="26"/>
        <v>231500</v>
      </c>
      <c r="P515" t="s">
        <v>31</v>
      </c>
    </row>
    <row r="516" spans="1:16">
      <c r="A516" t="s">
        <v>596</v>
      </c>
      <c r="B516" s="18">
        <v>46057</v>
      </c>
      <c r="C516" s="19">
        <f t="shared" si="24"/>
        <v>2026</v>
      </c>
      <c r="D516" s="19" t="str">
        <f t="shared" si="25"/>
        <v>Feb</v>
      </c>
      <c r="E516" t="s">
        <v>26</v>
      </c>
      <c r="F516" t="s">
        <v>131</v>
      </c>
      <c r="G516" t="s">
        <v>132</v>
      </c>
      <c r="H516" t="s">
        <v>133</v>
      </c>
      <c r="I516" t="s">
        <v>68</v>
      </c>
      <c r="J516" t="s">
        <v>49</v>
      </c>
      <c r="K516" t="s">
        <v>58</v>
      </c>
      <c r="L516" s="19">
        <v>1</v>
      </c>
      <c r="M516" s="20">
        <v>933000</v>
      </c>
      <c r="N516" s="20">
        <v>764300</v>
      </c>
      <c r="O516" s="20">
        <f t="shared" si="26"/>
        <v>168700</v>
      </c>
      <c r="P516" t="s">
        <v>72</v>
      </c>
    </row>
    <row r="517" spans="1:16">
      <c r="A517" t="s">
        <v>597</v>
      </c>
      <c r="B517" s="18">
        <v>46057</v>
      </c>
      <c r="C517" s="19">
        <f t="shared" si="24"/>
        <v>2026</v>
      </c>
      <c r="D517" s="19" t="str">
        <f t="shared" si="25"/>
        <v>Feb</v>
      </c>
      <c r="E517" t="s">
        <v>17</v>
      </c>
      <c r="F517" t="s">
        <v>18</v>
      </c>
      <c r="G517" t="s">
        <v>60</v>
      </c>
      <c r="H517" t="s">
        <v>61</v>
      </c>
      <c r="I517" t="s">
        <v>21</v>
      </c>
      <c r="J517" t="s">
        <v>22</v>
      </c>
      <c r="K517" t="s">
        <v>23</v>
      </c>
      <c r="L517" s="19">
        <v>1</v>
      </c>
      <c r="M517" s="20">
        <v>1922000</v>
      </c>
      <c r="N517" s="20">
        <v>1553400</v>
      </c>
      <c r="O517" s="20">
        <f t="shared" si="26"/>
        <v>368600</v>
      </c>
      <c r="P517" t="s">
        <v>31</v>
      </c>
    </row>
    <row r="518" spans="1:16">
      <c r="A518" t="s">
        <v>598</v>
      </c>
      <c r="B518" s="18">
        <v>46057</v>
      </c>
      <c r="C518" s="19">
        <f t="shared" si="24"/>
        <v>2026</v>
      </c>
      <c r="D518" s="19" t="str">
        <f t="shared" si="25"/>
        <v>Feb</v>
      </c>
      <c r="E518" t="s">
        <v>17</v>
      </c>
      <c r="F518" t="s">
        <v>18</v>
      </c>
      <c r="G518" t="s">
        <v>60</v>
      </c>
      <c r="H518" t="s">
        <v>61</v>
      </c>
      <c r="I518" t="s">
        <v>40</v>
      </c>
      <c r="J518" t="s">
        <v>41</v>
      </c>
      <c r="K518" t="s">
        <v>42</v>
      </c>
      <c r="L518" s="19">
        <v>1</v>
      </c>
      <c r="M518" s="20">
        <v>1787000</v>
      </c>
      <c r="N518" s="20">
        <v>1564900</v>
      </c>
      <c r="O518" s="20">
        <f t="shared" si="26"/>
        <v>222100</v>
      </c>
      <c r="P518" t="s">
        <v>37</v>
      </c>
    </row>
    <row r="519" spans="1:16">
      <c r="A519" t="s">
        <v>599</v>
      </c>
      <c r="B519" s="18">
        <v>46057</v>
      </c>
      <c r="C519" s="19">
        <f t="shared" si="24"/>
        <v>2026</v>
      </c>
      <c r="D519" s="19" t="str">
        <f t="shared" si="25"/>
        <v>Feb</v>
      </c>
      <c r="E519" t="s">
        <v>26</v>
      </c>
      <c r="F519" t="s">
        <v>27</v>
      </c>
      <c r="G519" t="s">
        <v>28</v>
      </c>
      <c r="H519" t="s">
        <v>39</v>
      </c>
      <c r="I519" t="s">
        <v>71</v>
      </c>
      <c r="J519" t="s">
        <v>49</v>
      </c>
      <c r="K519" t="s">
        <v>58</v>
      </c>
      <c r="L519" s="19">
        <v>2</v>
      </c>
      <c r="M519" s="20">
        <v>2074000</v>
      </c>
      <c r="N519" s="20">
        <v>1700300</v>
      </c>
      <c r="O519" s="20">
        <f t="shared" si="26"/>
        <v>373700</v>
      </c>
      <c r="P519" t="s">
        <v>31</v>
      </c>
    </row>
    <row r="520" spans="1:16">
      <c r="A520" t="s">
        <v>600</v>
      </c>
      <c r="B520" s="18">
        <v>46058</v>
      </c>
      <c r="C520" s="19">
        <f t="shared" si="24"/>
        <v>2026</v>
      </c>
      <c r="D520" s="19" t="str">
        <f t="shared" si="25"/>
        <v>Feb</v>
      </c>
      <c r="E520" t="s">
        <v>26</v>
      </c>
      <c r="F520" t="s">
        <v>131</v>
      </c>
      <c r="G520" t="s">
        <v>132</v>
      </c>
      <c r="H520" t="s">
        <v>133</v>
      </c>
      <c r="I520" t="s">
        <v>56</v>
      </c>
      <c r="J520" t="s">
        <v>57</v>
      </c>
      <c r="K520" t="s">
        <v>58</v>
      </c>
      <c r="L520" s="19">
        <v>1</v>
      </c>
      <c r="M520" s="20">
        <v>1229000</v>
      </c>
      <c r="N520" s="20">
        <v>1061700</v>
      </c>
      <c r="O520" s="20">
        <f t="shared" si="26"/>
        <v>167300</v>
      </c>
      <c r="P520" t="s">
        <v>78</v>
      </c>
    </row>
    <row r="521" spans="1:16">
      <c r="A521" t="s">
        <v>601</v>
      </c>
      <c r="B521" s="18">
        <v>46058</v>
      </c>
      <c r="C521" s="19">
        <f t="shared" si="24"/>
        <v>2026</v>
      </c>
      <c r="D521" s="19" t="str">
        <f t="shared" si="25"/>
        <v>Feb</v>
      </c>
      <c r="E521" t="s">
        <v>26</v>
      </c>
      <c r="F521" t="s">
        <v>27</v>
      </c>
      <c r="G521" t="s">
        <v>28</v>
      </c>
      <c r="H521" t="s">
        <v>39</v>
      </c>
      <c r="I521" t="s">
        <v>56</v>
      </c>
      <c r="J521" t="s">
        <v>57</v>
      </c>
      <c r="K521" t="s">
        <v>58</v>
      </c>
      <c r="L521" s="19">
        <v>1</v>
      </c>
      <c r="M521" s="20">
        <v>1187000</v>
      </c>
      <c r="N521" s="20">
        <v>961500</v>
      </c>
      <c r="O521" s="20">
        <f t="shared" si="26"/>
        <v>225500</v>
      </c>
      <c r="P521" t="s">
        <v>31</v>
      </c>
    </row>
    <row r="522" spans="1:16">
      <c r="A522" t="s">
        <v>602</v>
      </c>
      <c r="B522" s="18">
        <v>46059</v>
      </c>
      <c r="C522" s="19">
        <f t="shared" si="24"/>
        <v>2026</v>
      </c>
      <c r="D522" s="19" t="str">
        <f t="shared" si="25"/>
        <v>Feb</v>
      </c>
      <c r="E522" t="s">
        <v>17</v>
      </c>
      <c r="F522" t="s">
        <v>18</v>
      </c>
      <c r="G522" t="s">
        <v>60</v>
      </c>
      <c r="H522" t="s">
        <v>61</v>
      </c>
      <c r="I522" t="s">
        <v>56</v>
      </c>
      <c r="J522" t="s">
        <v>57</v>
      </c>
      <c r="K522" t="s">
        <v>58</v>
      </c>
      <c r="L522" s="19">
        <v>1</v>
      </c>
      <c r="M522" s="20">
        <v>1211000</v>
      </c>
      <c r="N522" s="20">
        <v>1009100</v>
      </c>
      <c r="O522" s="20">
        <f t="shared" si="26"/>
        <v>201900</v>
      </c>
      <c r="P522" t="s">
        <v>31</v>
      </c>
    </row>
    <row r="523" spans="1:16">
      <c r="A523" t="s">
        <v>603</v>
      </c>
      <c r="B523" s="18">
        <v>46059</v>
      </c>
      <c r="C523" s="19">
        <f t="shared" si="24"/>
        <v>2026</v>
      </c>
      <c r="D523" s="19" t="str">
        <f t="shared" si="25"/>
        <v>Feb</v>
      </c>
      <c r="E523" t="s">
        <v>44</v>
      </c>
      <c r="F523" t="s">
        <v>45</v>
      </c>
      <c r="G523" t="s">
        <v>46</v>
      </c>
      <c r="H523" t="s">
        <v>47</v>
      </c>
      <c r="I523" t="s">
        <v>63</v>
      </c>
      <c r="J523" t="s">
        <v>41</v>
      </c>
      <c r="K523" t="s">
        <v>58</v>
      </c>
      <c r="L523" s="19">
        <v>1</v>
      </c>
      <c r="M523" s="20">
        <v>1376000</v>
      </c>
      <c r="N523" s="20">
        <v>1141000</v>
      </c>
      <c r="O523" s="20">
        <f t="shared" si="26"/>
        <v>235000</v>
      </c>
      <c r="P523" t="s">
        <v>24</v>
      </c>
    </row>
    <row r="524" spans="1:16">
      <c r="A524" t="s">
        <v>604</v>
      </c>
      <c r="B524" s="18">
        <v>46060</v>
      </c>
      <c r="C524" s="19">
        <f t="shared" si="24"/>
        <v>2026</v>
      </c>
      <c r="D524" s="19" t="str">
        <f t="shared" si="25"/>
        <v>Feb</v>
      </c>
      <c r="E524" t="s">
        <v>17</v>
      </c>
      <c r="F524" t="s">
        <v>18</v>
      </c>
      <c r="G524" t="s">
        <v>19</v>
      </c>
      <c r="H524" t="s">
        <v>20</v>
      </c>
      <c r="I524" t="s">
        <v>56</v>
      </c>
      <c r="J524" t="s">
        <v>57</v>
      </c>
      <c r="K524" t="s">
        <v>58</v>
      </c>
      <c r="L524" s="19">
        <v>1</v>
      </c>
      <c r="M524" s="20">
        <v>1250000</v>
      </c>
      <c r="N524" s="20">
        <v>1059700</v>
      </c>
      <c r="O524" s="20">
        <f t="shared" si="26"/>
        <v>190300</v>
      </c>
      <c r="P524" t="s">
        <v>78</v>
      </c>
    </row>
    <row r="525" spans="1:16">
      <c r="A525" t="s">
        <v>605</v>
      </c>
      <c r="B525" s="18">
        <v>46060</v>
      </c>
      <c r="C525" s="19">
        <f t="shared" si="24"/>
        <v>2026</v>
      </c>
      <c r="D525" s="19" t="str">
        <f t="shared" si="25"/>
        <v>Feb</v>
      </c>
      <c r="E525" t="s">
        <v>33</v>
      </c>
      <c r="F525" t="s">
        <v>92</v>
      </c>
      <c r="G525" t="s">
        <v>93</v>
      </c>
      <c r="H525" t="s">
        <v>94</v>
      </c>
      <c r="I525" t="s">
        <v>71</v>
      </c>
      <c r="J525" t="s">
        <v>49</v>
      </c>
      <c r="K525" t="s">
        <v>58</v>
      </c>
      <c r="L525" s="19">
        <v>1</v>
      </c>
      <c r="M525" s="20">
        <v>1024000</v>
      </c>
      <c r="N525" s="20">
        <v>822200</v>
      </c>
      <c r="O525" s="20">
        <f t="shared" si="26"/>
        <v>201800</v>
      </c>
      <c r="P525" t="s">
        <v>37</v>
      </c>
    </row>
    <row r="526" spans="1:16">
      <c r="A526" t="s">
        <v>606</v>
      </c>
      <c r="B526" s="18">
        <v>46060</v>
      </c>
      <c r="C526" s="19">
        <f t="shared" si="24"/>
        <v>2026</v>
      </c>
      <c r="D526" s="19" t="str">
        <f t="shared" si="25"/>
        <v>Feb</v>
      </c>
      <c r="E526" t="s">
        <v>33</v>
      </c>
      <c r="F526" t="s">
        <v>34</v>
      </c>
      <c r="G526" t="s">
        <v>34</v>
      </c>
      <c r="H526" t="s">
        <v>35</v>
      </c>
      <c r="I526" t="s">
        <v>30</v>
      </c>
      <c r="J526" t="s">
        <v>22</v>
      </c>
      <c r="K526" t="s">
        <v>23</v>
      </c>
      <c r="L526" s="19">
        <v>1</v>
      </c>
      <c r="M526" s="20">
        <v>1823000</v>
      </c>
      <c r="N526" s="20">
        <v>1528900</v>
      </c>
      <c r="O526" s="20">
        <f t="shared" si="26"/>
        <v>294100</v>
      </c>
      <c r="P526" t="s">
        <v>24</v>
      </c>
    </row>
    <row r="527" spans="1:16">
      <c r="A527" t="s">
        <v>607</v>
      </c>
      <c r="B527" s="18">
        <v>46060</v>
      </c>
      <c r="C527" s="19">
        <f t="shared" si="24"/>
        <v>2026</v>
      </c>
      <c r="D527" s="19" t="str">
        <f t="shared" si="25"/>
        <v>Feb</v>
      </c>
      <c r="E527" t="s">
        <v>33</v>
      </c>
      <c r="F527" t="s">
        <v>81</v>
      </c>
      <c r="G527" t="s">
        <v>82</v>
      </c>
      <c r="H527" t="s">
        <v>83</v>
      </c>
      <c r="I527" t="s">
        <v>56</v>
      </c>
      <c r="J527" t="s">
        <v>57</v>
      </c>
      <c r="K527" t="s">
        <v>58</v>
      </c>
      <c r="L527" s="19">
        <v>1</v>
      </c>
      <c r="M527" s="20">
        <v>1233000</v>
      </c>
      <c r="N527" s="20">
        <v>1067600</v>
      </c>
      <c r="O527" s="20">
        <f t="shared" si="26"/>
        <v>165400</v>
      </c>
      <c r="P527" t="s">
        <v>24</v>
      </c>
    </row>
    <row r="528" spans="1:16">
      <c r="A528" t="s">
        <v>608</v>
      </c>
      <c r="B528" s="18">
        <v>46061</v>
      </c>
      <c r="C528" s="19">
        <f t="shared" si="24"/>
        <v>2026</v>
      </c>
      <c r="D528" s="19" t="str">
        <f t="shared" si="25"/>
        <v>Feb</v>
      </c>
      <c r="E528" t="s">
        <v>26</v>
      </c>
      <c r="F528" t="s">
        <v>131</v>
      </c>
      <c r="G528" t="s">
        <v>132</v>
      </c>
      <c r="H528" t="s">
        <v>133</v>
      </c>
      <c r="I528" t="s">
        <v>48</v>
      </c>
      <c r="J528" t="s">
        <v>49</v>
      </c>
      <c r="K528" t="s">
        <v>42</v>
      </c>
      <c r="L528" s="19">
        <v>1</v>
      </c>
      <c r="M528" s="20">
        <v>1269000</v>
      </c>
      <c r="N528" s="20">
        <v>1079000</v>
      </c>
      <c r="O528" s="20">
        <f t="shared" si="26"/>
        <v>190000</v>
      </c>
      <c r="P528" t="s">
        <v>37</v>
      </c>
    </row>
    <row r="529" spans="1:16">
      <c r="A529" t="s">
        <v>609</v>
      </c>
      <c r="B529" s="18">
        <v>46061</v>
      </c>
      <c r="C529" s="19">
        <f t="shared" si="24"/>
        <v>2026</v>
      </c>
      <c r="D529" s="19" t="str">
        <f t="shared" si="25"/>
        <v>Feb</v>
      </c>
      <c r="E529" t="s">
        <v>17</v>
      </c>
      <c r="F529" t="s">
        <v>18</v>
      </c>
      <c r="G529" t="s">
        <v>60</v>
      </c>
      <c r="H529" t="s">
        <v>61</v>
      </c>
      <c r="I529" t="s">
        <v>48</v>
      </c>
      <c r="J529" t="s">
        <v>49</v>
      </c>
      <c r="K529" t="s">
        <v>42</v>
      </c>
      <c r="L529" s="19">
        <v>1</v>
      </c>
      <c r="M529" s="20">
        <v>1230000</v>
      </c>
      <c r="N529" s="20">
        <v>1012700</v>
      </c>
      <c r="O529" s="20">
        <f t="shared" si="26"/>
        <v>217300</v>
      </c>
      <c r="P529" t="s">
        <v>31</v>
      </c>
    </row>
    <row r="530" spans="1:16">
      <c r="A530" t="s">
        <v>610</v>
      </c>
      <c r="B530" s="18">
        <v>46062</v>
      </c>
      <c r="C530" s="19">
        <f t="shared" si="24"/>
        <v>2026</v>
      </c>
      <c r="D530" s="19" t="str">
        <f t="shared" si="25"/>
        <v>Feb</v>
      </c>
      <c r="E530" t="s">
        <v>17</v>
      </c>
      <c r="F530" t="s">
        <v>51</v>
      </c>
      <c r="G530" t="s">
        <v>52</v>
      </c>
      <c r="H530" t="s">
        <v>70</v>
      </c>
      <c r="I530" t="s">
        <v>56</v>
      </c>
      <c r="J530" t="s">
        <v>57</v>
      </c>
      <c r="K530" t="s">
        <v>58</v>
      </c>
      <c r="L530" s="19">
        <v>1</v>
      </c>
      <c r="M530" s="20">
        <v>1201000</v>
      </c>
      <c r="N530" s="20">
        <v>967700</v>
      </c>
      <c r="O530" s="20">
        <f t="shared" si="26"/>
        <v>233300</v>
      </c>
      <c r="P530" t="s">
        <v>37</v>
      </c>
    </row>
    <row r="531" spans="1:16">
      <c r="A531" t="s">
        <v>611</v>
      </c>
      <c r="B531" s="18">
        <v>46062</v>
      </c>
      <c r="C531" s="19">
        <f t="shared" si="24"/>
        <v>2026</v>
      </c>
      <c r="D531" s="19" t="str">
        <f t="shared" si="25"/>
        <v>Feb</v>
      </c>
      <c r="E531" t="s">
        <v>17</v>
      </c>
      <c r="F531" t="s">
        <v>18</v>
      </c>
      <c r="G531" t="s">
        <v>19</v>
      </c>
      <c r="H531" t="s">
        <v>74</v>
      </c>
      <c r="I531" t="s">
        <v>71</v>
      </c>
      <c r="J531" t="s">
        <v>49</v>
      </c>
      <c r="K531" t="s">
        <v>58</v>
      </c>
      <c r="L531" s="19">
        <v>2</v>
      </c>
      <c r="M531" s="20">
        <v>2062000</v>
      </c>
      <c r="N531" s="20">
        <v>1780400</v>
      </c>
      <c r="O531" s="20">
        <f t="shared" si="26"/>
        <v>281600</v>
      </c>
      <c r="P531" t="s">
        <v>24</v>
      </c>
    </row>
    <row r="532" spans="1:16">
      <c r="A532" t="s">
        <v>612</v>
      </c>
      <c r="B532" s="18">
        <v>46062</v>
      </c>
      <c r="C532" s="19">
        <f t="shared" si="24"/>
        <v>2026</v>
      </c>
      <c r="D532" s="19" t="str">
        <f t="shared" si="25"/>
        <v>Feb</v>
      </c>
      <c r="E532" t="s">
        <v>26</v>
      </c>
      <c r="F532" t="s">
        <v>65</v>
      </c>
      <c r="G532" t="s">
        <v>66</v>
      </c>
      <c r="H532" t="s">
        <v>67</v>
      </c>
      <c r="I532" t="s">
        <v>71</v>
      </c>
      <c r="J532" t="s">
        <v>49</v>
      </c>
      <c r="K532" t="s">
        <v>58</v>
      </c>
      <c r="L532" s="19">
        <v>1</v>
      </c>
      <c r="M532" s="20">
        <v>1020000</v>
      </c>
      <c r="N532" s="20">
        <v>832600</v>
      </c>
      <c r="O532" s="20">
        <f t="shared" si="26"/>
        <v>187400</v>
      </c>
      <c r="P532" t="s">
        <v>78</v>
      </c>
    </row>
    <row r="533" spans="1:16">
      <c r="A533" t="s">
        <v>613</v>
      </c>
      <c r="B533" s="18">
        <v>46062</v>
      </c>
      <c r="C533" s="19">
        <f t="shared" si="24"/>
        <v>2026</v>
      </c>
      <c r="D533" s="19" t="str">
        <f t="shared" si="25"/>
        <v>Feb</v>
      </c>
      <c r="E533" t="s">
        <v>26</v>
      </c>
      <c r="F533" t="s">
        <v>65</v>
      </c>
      <c r="G533" t="s">
        <v>66</v>
      </c>
      <c r="H533" t="s">
        <v>67</v>
      </c>
      <c r="I533" t="s">
        <v>121</v>
      </c>
      <c r="J533" t="s">
        <v>57</v>
      </c>
      <c r="K533" t="s">
        <v>42</v>
      </c>
      <c r="L533" s="19">
        <v>1</v>
      </c>
      <c r="M533" s="20">
        <v>1624000</v>
      </c>
      <c r="N533" s="20">
        <v>1397200</v>
      </c>
      <c r="O533" s="20">
        <f t="shared" si="26"/>
        <v>226800</v>
      </c>
      <c r="P533" t="s">
        <v>31</v>
      </c>
    </row>
    <row r="534" spans="1:16">
      <c r="A534" t="s">
        <v>614</v>
      </c>
      <c r="B534" s="18">
        <v>46062</v>
      </c>
      <c r="C534" s="19">
        <f t="shared" si="24"/>
        <v>2026</v>
      </c>
      <c r="D534" s="19" t="str">
        <f t="shared" si="25"/>
        <v>Feb</v>
      </c>
      <c r="E534" t="s">
        <v>26</v>
      </c>
      <c r="F534" t="s">
        <v>131</v>
      </c>
      <c r="G534" t="s">
        <v>132</v>
      </c>
      <c r="H534" t="s">
        <v>133</v>
      </c>
      <c r="I534" t="s">
        <v>68</v>
      </c>
      <c r="J534" t="s">
        <v>49</v>
      </c>
      <c r="K534" t="s">
        <v>58</v>
      </c>
      <c r="L534" s="19">
        <v>1</v>
      </c>
      <c r="M534" s="20">
        <v>923000</v>
      </c>
      <c r="N534" s="20">
        <v>757500</v>
      </c>
      <c r="O534" s="20">
        <f t="shared" si="26"/>
        <v>165500</v>
      </c>
      <c r="P534" t="s">
        <v>54</v>
      </c>
    </row>
    <row r="535" spans="1:16">
      <c r="A535" t="s">
        <v>615</v>
      </c>
      <c r="B535" s="18">
        <v>46064</v>
      </c>
      <c r="C535" s="19">
        <f t="shared" si="24"/>
        <v>2026</v>
      </c>
      <c r="D535" s="19" t="str">
        <f t="shared" si="25"/>
        <v>Feb</v>
      </c>
      <c r="E535" t="s">
        <v>33</v>
      </c>
      <c r="F535" t="s">
        <v>34</v>
      </c>
      <c r="G535" t="s">
        <v>34</v>
      </c>
      <c r="H535" t="s">
        <v>102</v>
      </c>
      <c r="I535" t="s">
        <v>63</v>
      </c>
      <c r="J535" t="s">
        <v>41</v>
      </c>
      <c r="K535" t="s">
        <v>58</v>
      </c>
      <c r="L535" s="19">
        <v>1</v>
      </c>
      <c r="M535" s="20">
        <v>1309000</v>
      </c>
      <c r="N535" s="20">
        <v>1107200</v>
      </c>
      <c r="O535" s="20">
        <f t="shared" si="26"/>
        <v>201800</v>
      </c>
      <c r="P535" t="s">
        <v>54</v>
      </c>
    </row>
    <row r="536" spans="1:16">
      <c r="A536" t="s">
        <v>616</v>
      </c>
      <c r="B536" s="18">
        <v>46065</v>
      </c>
      <c r="C536" s="19">
        <f t="shared" si="24"/>
        <v>2026</v>
      </c>
      <c r="D536" s="19" t="str">
        <f t="shared" si="25"/>
        <v>Feb</v>
      </c>
      <c r="E536" t="s">
        <v>26</v>
      </c>
      <c r="F536" t="s">
        <v>65</v>
      </c>
      <c r="G536" t="s">
        <v>66</v>
      </c>
      <c r="H536" t="s">
        <v>67</v>
      </c>
      <c r="I536" t="s">
        <v>68</v>
      </c>
      <c r="J536" t="s">
        <v>49</v>
      </c>
      <c r="K536" t="s">
        <v>58</v>
      </c>
      <c r="L536" s="19">
        <v>1</v>
      </c>
      <c r="M536" s="20">
        <v>941000</v>
      </c>
      <c r="N536" s="20">
        <v>806600</v>
      </c>
      <c r="O536" s="20">
        <f t="shared" si="26"/>
        <v>134400</v>
      </c>
      <c r="P536" t="s">
        <v>54</v>
      </c>
    </row>
    <row r="537" spans="1:16">
      <c r="A537" t="s">
        <v>617</v>
      </c>
      <c r="B537" s="18">
        <v>46065</v>
      </c>
      <c r="C537" s="19">
        <f t="shared" si="24"/>
        <v>2026</v>
      </c>
      <c r="D537" s="19" t="str">
        <f t="shared" si="25"/>
        <v>Feb</v>
      </c>
      <c r="E537" t="s">
        <v>26</v>
      </c>
      <c r="F537" t="s">
        <v>27</v>
      </c>
      <c r="G537" t="s">
        <v>28</v>
      </c>
      <c r="H537" t="s">
        <v>29</v>
      </c>
      <c r="I537" t="s">
        <v>71</v>
      </c>
      <c r="J537" t="s">
        <v>49</v>
      </c>
      <c r="K537" t="s">
        <v>58</v>
      </c>
      <c r="L537" s="19">
        <v>1</v>
      </c>
      <c r="M537" s="20">
        <v>996000</v>
      </c>
      <c r="N537" s="20">
        <v>857700</v>
      </c>
      <c r="O537" s="20">
        <f t="shared" si="26"/>
        <v>138300</v>
      </c>
      <c r="P537" t="s">
        <v>31</v>
      </c>
    </row>
    <row r="538" spans="1:16">
      <c r="A538" t="s">
        <v>618</v>
      </c>
      <c r="B538" s="18">
        <v>46065</v>
      </c>
      <c r="C538" s="19">
        <f t="shared" si="24"/>
        <v>2026</v>
      </c>
      <c r="D538" s="19" t="str">
        <f t="shared" si="25"/>
        <v>Feb</v>
      </c>
      <c r="E538" t="s">
        <v>44</v>
      </c>
      <c r="F538" t="s">
        <v>45</v>
      </c>
      <c r="G538" t="s">
        <v>46</v>
      </c>
      <c r="H538" t="s">
        <v>47</v>
      </c>
      <c r="I538" t="s">
        <v>171</v>
      </c>
      <c r="J538" t="s">
        <v>22</v>
      </c>
      <c r="K538" t="s">
        <v>42</v>
      </c>
      <c r="L538" s="19">
        <v>1</v>
      </c>
      <c r="M538" s="20">
        <v>6324000</v>
      </c>
      <c r="N538" s="20">
        <v>5216400</v>
      </c>
      <c r="O538" s="20">
        <f t="shared" si="26"/>
        <v>1107600</v>
      </c>
      <c r="P538" t="s">
        <v>31</v>
      </c>
    </row>
    <row r="539" spans="1:16">
      <c r="A539" t="s">
        <v>619</v>
      </c>
      <c r="B539" s="18">
        <v>46066</v>
      </c>
      <c r="C539" s="19">
        <f t="shared" si="24"/>
        <v>2026</v>
      </c>
      <c r="D539" s="19" t="str">
        <f t="shared" si="25"/>
        <v>Feb</v>
      </c>
      <c r="E539" t="s">
        <v>26</v>
      </c>
      <c r="F539" t="s">
        <v>27</v>
      </c>
      <c r="G539" t="s">
        <v>28</v>
      </c>
      <c r="H539" t="s">
        <v>29</v>
      </c>
      <c r="I539" t="s">
        <v>71</v>
      </c>
      <c r="J539" t="s">
        <v>49</v>
      </c>
      <c r="K539" t="s">
        <v>58</v>
      </c>
      <c r="L539" s="19">
        <v>1</v>
      </c>
      <c r="M539" s="20">
        <v>1030000</v>
      </c>
      <c r="N539" s="20">
        <v>873400</v>
      </c>
      <c r="O539" s="20">
        <f t="shared" si="26"/>
        <v>156600</v>
      </c>
      <c r="P539" t="s">
        <v>54</v>
      </c>
    </row>
    <row r="540" spans="1:16">
      <c r="A540" t="s">
        <v>620</v>
      </c>
      <c r="B540" s="18">
        <v>46067</v>
      </c>
      <c r="C540" s="19">
        <f t="shared" si="24"/>
        <v>2026</v>
      </c>
      <c r="D540" s="19" t="str">
        <f t="shared" si="25"/>
        <v>Feb</v>
      </c>
      <c r="E540" t="s">
        <v>33</v>
      </c>
      <c r="F540" t="s">
        <v>34</v>
      </c>
      <c r="G540" t="s">
        <v>34</v>
      </c>
      <c r="H540" t="s">
        <v>102</v>
      </c>
      <c r="I540" t="s">
        <v>56</v>
      </c>
      <c r="J540" t="s">
        <v>57</v>
      </c>
      <c r="K540" t="s">
        <v>58</v>
      </c>
      <c r="L540" s="19">
        <v>1</v>
      </c>
      <c r="M540" s="20">
        <v>1183000</v>
      </c>
      <c r="N540" s="20">
        <v>1035700</v>
      </c>
      <c r="O540" s="20">
        <f t="shared" si="26"/>
        <v>147300</v>
      </c>
      <c r="P540" t="s">
        <v>31</v>
      </c>
    </row>
    <row r="541" spans="1:16">
      <c r="A541" t="s">
        <v>621</v>
      </c>
      <c r="B541" s="18">
        <v>46067</v>
      </c>
      <c r="C541" s="19">
        <f t="shared" si="24"/>
        <v>2026</v>
      </c>
      <c r="D541" s="19" t="str">
        <f t="shared" si="25"/>
        <v>Feb</v>
      </c>
      <c r="E541" t="s">
        <v>33</v>
      </c>
      <c r="F541" t="s">
        <v>34</v>
      </c>
      <c r="G541" t="s">
        <v>34</v>
      </c>
      <c r="H541" t="s">
        <v>35</v>
      </c>
      <c r="I541" t="s">
        <v>40</v>
      </c>
      <c r="J541" t="s">
        <v>41</v>
      </c>
      <c r="K541" t="s">
        <v>42</v>
      </c>
      <c r="L541" s="19">
        <v>1</v>
      </c>
      <c r="M541" s="20">
        <v>1747000</v>
      </c>
      <c r="N541" s="20">
        <v>1519700</v>
      </c>
      <c r="O541" s="20">
        <f t="shared" si="26"/>
        <v>227300</v>
      </c>
      <c r="P541" t="s">
        <v>72</v>
      </c>
    </row>
    <row r="542" spans="1:16">
      <c r="A542" t="s">
        <v>622</v>
      </c>
      <c r="B542" s="18">
        <v>46068</v>
      </c>
      <c r="C542" s="19">
        <f t="shared" si="24"/>
        <v>2026</v>
      </c>
      <c r="D542" s="19" t="str">
        <f t="shared" si="25"/>
        <v>Feb</v>
      </c>
      <c r="E542" t="s">
        <v>17</v>
      </c>
      <c r="F542" t="s">
        <v>18</v>
      </c>
      <c r="G542" t="s">
        <v>19</v>
      </c>
      <c r="H542" t="s">
        <v>74</v>
      </c>
      <c r="I542" t="s">
        <v>21</v>
      </c>
      <c r="J542" t="s">
        <v>22</v>
      </c>
      <c r="K542" t="s">
        <v>23</v>
      </c>
      <c r="L542" s="19">
        <v>1</v>
      </c>
      <c r="M542" s="20">
        <v>1790000</v>
      </c>
      <c r="N542" s="20">
        <v>1459800</v>
      </c>
      <c r="O542" s="20">
        <f t="shared" si="26"/>
        <v>330200</v>
      </c>
      <c r="P542" t="s">
        <v>31</v>
      </c>
    </row>
    <row r="543" spans="1:16">
      <c r="A543" t="s">
        <v>623</v>
      </c>
      <c r="B543" s="18">
        <v>46068</v>
      </c>
      <c r="C543" s="19">
        <f t="shared" si="24"/>
        <v>2026</v>
      </c>
      <c r="D543" s="19" t="str">
        <f t="shared" si="25"/>
        <v>Feb</v>
      </c>
      <c r="E543" t="s">
        <v>17</v>
      </c>
      <c r="F543" t="s">
        <v>51</v>
      </c>
      <c r="G543" t="s">
        <v>52</v>
      </c>
      <c r="H543" t="s">
        <v>70</v>
      </c>
      <c r="I543" t="s">
        <v>63</v>
      </c>
      <c r="J543" t="s">
        <v>41</v>
      </c>
      <c r="K543" t="s">
        <v>58</v>
      </c>
      <c r="L543" s="19">
        <v>1</v>
      </c>
      <c r="M543" s="20">
        <v>1324000</v>
      </c>
      <c r="N543" s="20">
        <v>1159200</v>
      </c>
      <c r="O543" s="20">
        <f t="shared" si="26"/>
        <v>164800</v>
      </c>
      <c r="P543" t="s">
        <v>54</v>
      </c>
    </row>
    <row r="544" spans="1:16">
      <c r="A544" t="s">
        <v>624</v>
      </c>
      <c r="B544" s="18">
        <v>46069</v>
      </c>
      <c r="C544" s="19">
        <f t="shared" si="24"/>
        <v>2026</v>
      </c>
      <c r="D544" s="19" t="str">
        <f t="shared" si="25"/>
        <v>Feb</v>
      </c>
      <c r="E544" t="s">
        <v>26</v>
      </c>
      <c r="F544" t="s">
        <v>27</v>
      </c>
      <c r="G544" t="s">
        <v>28</v>
      </c>
      <c r="H544" t="s">
        <v>29</v>
      </c>
      <c r="I544" t="s">
        <v>71</v>
      </c>
      <c r="J544" t="s">
        <v>49</v>
      </c>
      <c r="K544" t="s">
        <v>58</v>
      </c>
      <c r="L544" s="19">
        <v>1</v>
      </c>
      <c r="M544" s="20">
        <v>990000</v>
      </c>
      <c r="N544" s="20">
        <v>823400</v>
      </c>
      <c r="O544" s="20">
        <f t="shared" si="26"/>
        <v>166600</v>
      </c>
      <c r="P544" t="s">
        <v>24</v>
      </c>
    </row>
    <row r="545" spans="1:16">
      <c r="A545" t="s">
        <v>625</v>
      </c>
      <c r="B545" s="18">
        <v>46069</v>
      </c>
      <c r="C545" s="19">
        <f t="shared" si="24"/>
        <v>2026</v>
      </c>
      <c r="D545" s="19" t="str">
        <f t="shared" si="25"/>
        <v>Feb</v>
      </c>
      <c r="E545" t="s">
        <v>44</v>
      </c>
      <c r="F545" t="s">
        <v>45</v>
      </c>
      <c r="G545" t="s">
        <v>46</v>
      </c>
      <c r="H545" t="s">
        <v>47</v>
      </c>
      <c r="I545" t="s">
        <v>21</v>
      </c>
      <c r="J545" t="s">
        <v>22</v>
      </c>
      <c r="K545" t="s">
        <v>23</v>
      </c>
      <c r="L545" s="19">
        <v>1</v>
      </c>
      <c r="M545" s="20">
        <v>1821000</v>
      </c>
      <c r="N545" s="20">
        <v>1547700</v>
      </c>
      <c r="O545" s="20">
        <f t="shared" si="26"/>
        <v>273300</v>
      </c>
      <c r="P545" t="s">
        <v>54</v>
      </c>
    </row>
    <row r="546" spans="1:16">
      <c r="A546" t="s">
        <v>626</v>
      </c>
      <c r="B546" s="18">
        <v>46071</v>
      </c>
      <c r="C546" s="19">
        <f t="shared" si="24"/>
        <v>2026</v>
      </c>
      <c r="D546" s="19" t="str">
        <f t="shared" si="25"/>
        <v>Feb</v>
      </c>
      <c r="E546" t="s">
        <v>17</v>
      </c>
      <c r="F546" t="s">
        <v>51</v>
      </c>
      <c r="G546" t="s">
        <v>98</v>
      </c>
      <c r="H546" t="s">
        <v>99</v>
      </c>
      <c r="I546" t="s">
        <v>56</v>
      </c>
      <c r="J546" t="s">
        <v>57</v>
      </c>
      <c r="K546" t="s">
        <v>58</v>
      </c>
      <c r="L546" s="19">
        <v>1</v>
      </c>
      <c r="M546" s="20">
        <v>1229000</v>
      </c>
      <c r="N546" s="20">
        <v>1045300</v>
      </c>
      <c r="O546" s="20">
        <f t="shared" si="26"/>
        <v>183700</v>
      </c>
      <c r="P546" t="s">
        <v>24</v>
      </c>
    </row>
    <row r="547" spans="1:16">
      <c r="A547" t="s">
        <v>627</v>
      </c>
      <c r="B547" s="18">
        <v>46071</v>
      </c>
      <c r="C547" s="19">
        <f t="shared" si="24"/>
        <v>2026</v>
      </c>
      <c r="D547" s="19" t="str">
        <f t="shared" si="25"/>
        <v>Feb</v>
      </c>
      <c r="E547" t="s">
        <v>26</v>
      </c>
      <c r="F547" t="s">
        <v>65</v>
      </c>
      <c r="G547" t="s">
        <v>66</v>
      </c>
      <c r="H547" t="s">
        <v>67</v>
      </c>
      <c r="I547" t="s">
        <v>171</v>
      </c>
      <c r="J547" t="s">
        <v>22</v>
      </c>
      <c r="K547" t="s">
        <v>42</v>
      </c>
      <c r="L547" s="19">
        <v>1</v>
      </c>
      <c r="M547" s="20">
        <v>6309000</v>
      </c>
      <c r="N547" s="20">
        <v>5398600</v>
      </c>
      <c r="O547" s="20">
        <f t="shared" si="26"/>
        <v>910400</v>
      </c>
      <c r="P547" t="s">
        <v>31</v>
      </c>
    </row>
    <row r="548" spans="1:16">
      <c r="A548" t="s">
        <v>628</v>
      </c>
      <c r="B548" s="18">
        <v>46071</v>
      </c>
      <c r="C548" s="19">
        <f t="shared" si="24"/>
        <v>2026</v>
      </c>
      <c r="D548" s="19" t="str">
        <f t="shared" si="25"/>
        <v>Feb</v>
      </c>
      <c r="E548" t="s">
        <v>26</v>
      </c>
      <c r="F548" t="s">
        <v>65</v>
      </c>
      <c r="G548" t="s">
        <v>66</v>
      </c>
      <c r="H548" t="s">
        <v>67</v>
      </c>
      <c r="I548" t="s">
        <v>63</v>
      </c>
      <c r="J548" t="s">
        <v>41</v>
      </c>
      <c r="K548" t="s">
        <v>58</v>
      </c>
      <c r="L548" s="19">
        <v>1</v>
      </c>
      <c r="M548" s="20">
        <v>1303000</v>
      </c>
      <c r="N548" s="20">
        <v>1143500</v>
      </c>
      <c r="O548" s="20">
        <f t="shared" si="26"/>
        <v>159500</v>
      </c>
      <c r="P548" t="s">
        <v>78</v>
      </c>
    </row>
    <row r="549" spans="1:16">
      <c r="A549" t="s">
        <v>629</v>
      </c>
      <c r="B549" s="18">
        <v>46072</v>
      </c>
      <c r="C549" s="19">
        <f t="shared" si="24"/>
        <v>2026</v>
      </c>
      <c r="D549" s="19" t="str">
        <f t="shared" si="25"/>
        <v>Feb</v>
      </c>
      <c r="E549" t="s">
        <v>26</v>
      </c>
      <c r="F549" t="s">
        <v>65</v>
      </c>
      <c r="G549" t="s">
        <v>66</v>
      </c>
      <c r="H549" t="s">
        <v>67</v>
      </c>
      <c r="I549" t="s">
        <v>56</v>
      </c>
      <c r="J549" t="s">
        <v>57</v>
      </c>
      <c r="K549" t="s">
        <v>58</v>
      </c>
      <c r="L549" s="19">
        <v>1</v>
      </c>
      <c r="M549" s="20">
        <v>1248000</v>
      </c>
      <c r="N549" s="20">
        <v>1082000</v>
      </c>
      <c r="O549" s="20">
        <f t="shared" si="26"/>
        <v>166000</v>
      </c>
      <c r="P549" t="s">
        <v>24</v>
      </c>
    </row>
    <row r="550" spans="1:16">
      <c r="A550" t="s">
        <v>630</v>
      </c>
      <c r="B550" s="18">
        <v>46073</v>
      </c>
      <c r="C550" s="19">
        <f t="shared" si="24"/>
        <v>2026</v>
      </c>
      <c r="D550" s="19" t="str">
        <f t="shared" si="25"/>
        <v>Feb</v>
      </c>
      <c r="E550" t="s">
        <v>33</v>
      </c>
      <c r="F550" t="s">
        <v>34</v>
      </c>
      <c r="G550" t="s">
        <v>34</v>
      </c>
      <c r="H550" t="s">
        <v>102</v>
      </c>
      <c r="I550" t="s">
        <v>121</v>
      </c>
      <c r="J550" t="s">
        <v>57</v>
      </c>
      <c r="K550" t="s">
        <v>42</v>
      </c>
      <c r="L550" s="19">
        <v>1</v>
      </c>
      <c r="M550" s="20">
        <v>1629000</v>
      </c>
      <c r="N550" s="20">
        <v>1360200</v>
      </c>
      <c r="O550" s="20">
        <f t="shared" si="26"/>
        <v>268800</v>
      </c>
      <c r="P550" t="s">
        <v>78</v>
      </c>
    </row>
    <row r="551" spans="1:16">
      <c r="A551" t="s">
        <v>631</v>
      </c>
      <c r="B551" s="18">
        <v>46073</v>
      </c>
      <c r="C551" s="19">
        <f t="shared" si="24"/>
        <v>2026</v>
      </c>
      <c r="D551" s="19" t="str">
        <f t="shared" si="25"/>
        <v>Feb</v>
      </c>
      <c r="E551" t="s">
        <v>17</v>
      </c>
      <c r="F551" t="s">
        <v>18</v>
      </c>
      <c r="G551" t="s">
        <v>19</v>
      </c>
      <c r="H551" t="s">
        <v>74</v>
      </c>
      <c r="I551" t="s">
        <v>121</v>
      </c>
      <c r="J551" t="s">
        <v>57</v>
      </c>
      <c r="K551" t="s">
        <v>42</v>
      </c>
      <c r="L551" s="19">
        <v>1</v>
      </c>
      <c r="M551" s="20">
        <v>1561000</v>
      </c>
      <c r="N551" s="20">
        <v>1271500</v>
      </c>
      <c r="O551" s="20">
        <f t="shared" si="26"/>
        <v>289500</v>
      </c>
      <c r="P551" t="s">
        <v>31</v>
      </c>
    </row>
    <row r="552" spans="1:16">
      <c r="A552" t="s">
        <v>632</v>
      </c>
      <c r="B552" s="18">
        <v>46074</v>
      </c>
      <c r="C552" s="19">
        <f t="shared" si="24"/>
        <v>2026</v>
      </c>
      <c r="D552" s="19" t="str">
        <f t="shared" si="25"/>
        <v>Feb</v>
      </c>
      <c r="E552" t="s">
        <v>33</v>
      </c>
      <c r="F552" t="s">
        <v>81</v>
      </c>
      <c r="G552" t="s">
        <v>82</v>
      </c>
      <c r="H552" t="s">
        <v>83</v>
      </c>
      <c r="I552" t="s">
        <v>68</v>
      </c>
      <c r="J552" t="s">
        <v>49</v>
      </c>
      <c r="K552" t="s">
        <v>58</v>
      </c>
      <c r="L552" s="19">
        <v>1</v>
      </c>
      <c r="M552" s="20">
        <v>949000</v>
      </c>
      <c r="N552" s="20">
        <v>761500</v>
      </c>
      <c r="O552" s="20">
        <f t="shared" si="26"/>
        <v>187500</v>
      </c>
      <c r="P552" t="s">
        <v>24</v>
      </c>
    </row>
    <row r="553" spans="1:16">
      <c r="A553" t="s">
        <v>633</v>
      </c>
      <c r="B553" s="18">
        <v>46074</v>
      </c>
      <c r="C553" s="19">
        <f t="shared" si="24"/>
        <v>2026</v>
      </c>
      <c r="D553" s="19" t="str">
        <f t="shared" si="25"/>
        <v>Feb</v>
      </c>
      <c r="E553" t="s">
        <v>17</v>
      </c>
      <c r="F553" t="s">
        <v>51</v>
      </c>
      <c r="G553" t="s">
        <v>52</v>
      </c>
      <c r="H553" t="s">
        <v>53</v>
      </c>
      <c r="I553" t="s">
        <v>48</v>
      </c>
      <c r="J553" t="s">
        <v>49</v>
      </c>
      <c r="K553" t="s">
        <v>42</v>
      </c>
      <c r="L553" s="19">
        <v>1</v>
      </c>
      <c r="M553" s="20">
        <v>1203000</v>
      </c>
      <c r="N553" s="20">
        <v>1044500</v>
      </c>
      <c r="O553" s="20">
        <f t="shared" si="26"/>
        <v>158500</v>
      </c>
      <c r="P553" t="s">
        <v>24</v>
      </c>
    </row>
    <row r="554" spans="1:16">
      <c r="A554" t="s">
        <v>634</v>
      </c>
      <c r="B554" s="18">
        <v>46076</v>
      </c>
      <c r="C554" s="19">
        <f t="shared" si="24"/>
        <v>2026</v>
      </c>
      <c r="D554" s="19" t="str">
        <f t="shared" si="25"/>
        <v>Feb</v>
      </c>
      <c r="E554" t="s">
        <v>17</v>
      </c>
      <c r="F554" t="s">
        <v>18</v>
      </c>
      <c r="G554" t="s">
        <v>60</v>
      </c>
      <c r="H554" t="s">
        <v>61</v>
      </c>
      <c r="I554" t="s">
        <v>71</v>
      </c>
      <c r="J554" t="s">
        <v>49</v>
      </c>
      <c r="K554" t="s">
        <v>58</v>
      </c>
      <c r="L554" s="19">
        <v>1</v>
      </c>
      <c r="M554" s="20">
        <v>1047000</v>
      </c>
      <c r="N554" s="20">
        <v>905400</v>
      </c>
      <c r="O554" s="20">
        <f t="shared" si="26"/>
        <v>141600</v>
      </c>
      <c r="P554" t="s">
        <v>31</v>
      </c>
    </row>
    <row r="555" spans="1:16">
      <c r="A555" t="s">
        <v>635</v>
      </c>
      <c r="B555" s="18">
        <v>46076</v>
      </c>
      <c r="C555" s="19">
        <f t="shared" si="24"/>
        <v>2026</v>
      </c>
      <c r="D555" s="19" t="str">
        <f t="shared" si="25"/>
        <v>Feb</v>
      </c>
      <c r="E555" t="s">
        <v>33</v>
      </c>
      <c r="F555" t="s">
        <v>34</v>
      </c>
      <c r="G555" t="s">
        <v>34</v>
      </c>
      <c r="H555" t="s">
        <v>35</v>
      </c>
      <c r="I555" t="s">
        <v>71</v>
      </c>
      <c r="J555" t="s">
        <v>49</v>
      </c>
      <c r="K555" t="s">
        <v>58</v>
      </c>
      <c r="L555" s="19">
        <v>1</v>
      </c>
      <c r="M555" s="20">
        <v>1030000</v>
      </c>
      <c r="N555" s="20">
        <v>892600</v>
      </c>
      <c r="O555" s="20">
        <f t="shared" si="26"/>
        <v>137400</v>
      </c>
      <c r="P555" t="s">
        <v>31</v>
      </c>
    </row>
    <row r="556" spans="1:16">
      <c r="A556" t="s">
        <v>636</v>
      </c>
      <c r="B556" s="18">
        <v>46077</v>
      </c>
      <c r="C556" s="19">
        <f t="shared" si="24"/>
        <v>2026</v>
      </c>
      <c r="D556" s="19" t="str">
        <f t="shared" si="25"/>
        <v>Feb</v>
      </c>
      <c r="E556" t="s">
        <v>26</v>
      </c>
      <c r="F556" t="s">
        <v>27</v>
      </c>
      <c r="G556" t="s">
        <v>28</v>
      </c>
      <c r="H556" t="s">
        <v>39</v>
      </c>
      <c r="I556" t="s">
        <v>30</v>
      </c>
      <c r="J556" t="s">
        <v>22</v>
      </c>
      <c r="K556" t="s">
        <v>23</v>
      </c>
      <c r="L556" s="19">
        <v>1</v>
      </c>
      <c r="M556" s="20">
        <v>1837000</v>
      </c>
      <c r="N556" s="20">
        <v>1527900</v>
      </c>
      <c r="O556" s="20">
        <f t="shared" si="26"/>
        <v>309100</v>
      </c>
      <c r="P556" t="s">
        <v>31</v>
      </c>
    </row>
    <row r="557" spans="1:16">
      <c r="A557" t="s">
        <v>637</v>
      </c>
      <c r="B557" s="18">
        <v>46077</v>
      </c>
      <c r="C557" s="19">
        <f t="shared" si="24"/>
        <v>2026</v>
      </c>
      <c r="D557" s="19" t="str">
        <f t="shared" si="25"/>
        <v>Feb</v>
      </c>
      <c r="E557" t="s">
        <v>26</v>
      </c>
      <c r="F557" t="s">
        <v>27</v>
      </c>
      <c r="G557" t="s">
        <v>28</v>
      </c>
      <c r="H557" t="s">
        <v>29</v>
      </c>
      <c r="I557" t="s">
        <v>56</v>
      </c>
      <c r="J557" t="s">
        <v>57</v>
      </c>
      <c r="K557" t="s">
        <v>58</v>
      </c>
      <c r="L557" s="19">
        <v>1</v>
      </c>
      <c r="M557" s="20">
        <v>1234000</v>
      </c>
      <c r="N557" s="20">
        <v>987800</v>
      </c>
      <c r="O557" s="20">
        <f t="shared" si="26"/>
        <v>246200</v>
      </c>
      <c r="P557" t="s">
        <v>31</v>
      </c>
    </row>
    <row r="558" spans="1:16">
      <c r="A558" t="s">
        <v>638</v>
      </c>
      <c r="B558" s="18">
        <v>46077</v>
      </c>
      <c r="C558" s="19">
        <f t="shared" si="24"/>
        <v>2026</v>
      </c>
      <c r="D558" s="19" t="str">
        <f t="shared" si="25"/>
        <v>Feb</v>
      </c>
      <c r="E558" t="s">
        <v>33</v>
      </c>
      <c r="F558" t="s">
        <v>92</v>
      </c>
      <c r="G558" t="s">
        <v>93</v>
      </c>
      <c r="H558" t="s">
        <v>94</v>
      </c>
      <c r="I558" t="s">
        <v>68</v>
      </c>
      <c r="J558" t="s">
        <v>49</v>
      </c>
      <c r="K558" t="s">
        <v>58</v>
      </c>
      <c r="L558" s="19">
        <v>1</v>
      </c>
      <c r="M558" s="20">
        <v>935000</v>
      </c>
      <c r="N558" s="20">
        <v>791400</v>
      </c>
      <c r="O558" s="20">
        <f t="shared" si="26"/>
        <v>143600</v>
      </c>
      <c r="P558" t="s">
        <v>54</v>
      </c>
    </row>
    <row r="559" spans="1:16">
      <c r="A559" t="s">
        <v>639</v>
      </c>
      <c r="B559" s="18">
        <v>46078</v>
      </c>
      <c r="C559" s="19">
        <f t="shared" si="24"/>
        <v>2026</v>
      </c>
      <c r="D559" s="19" t="str">
        <f t="shared" si="25"/>
        <v>Feb</v>
      </c>
      <c r="E559" t="s">
        <v>33</v>
      </c>
      <c r="F559" t="s">
        <v>34</v>
      </c>
      <c r="G559" t="s">
        <v>34</v>
      </c>
      <c r="H559" t="s">
        <v>35</v>
      </c>
      <c r="I559" t="s">
        <v>63</v>
      </c>
      <c r="J559" t="s">
        <v>41</v>
      </c>
      <c r="K559" t="s">
        <v>58</v>
      </c>
      <c r="L559" s="19">
        <v>1</v>
      </c>
      <c r="M559" s="20">
        <v>1304000</v>
      </c>
      <c r="N559" s="20">
        <v>1082700</v>
      </c>
      <c r="O559" s="20">
        <f t="shared" si="26"/>
        <v>221300</v>
      </c>
      <c r="P559" t="s">
        <v>31</v>
      </c>
    </row>
    <row r="560" spans="1:16">
      <c r="A560" t="s">
        <v>640</v>
      </c>
      <c r="B560" s="18">
        <v>46078</v>
      </c>
      <c r="C560" s="19">
        <f t="shared" si="24"/>
        <v>2026</v>
      </c>
      <c r="D560" s="19" t="str">
        <f t="shared" si="25"/>
        <v>Feb</v>
      </c>
      <c r="E560" t="s">
        <v>17</v>
      </c>
      <c r="F560" t="s">
        <v>51</v>
      </c>
      <c r="G560" t="s">
        <v>52</v>
      </c>
      <c r="H560" t="s">
        <v>53</v>
      </c>
      <c r="I560" t="s">
        <v>36</v>
      </c>
      <c r="J560" t="s">
        <v>22</v>
      </c>
      <c r="K560" t="s">
        <v>23</v>
      </c>
      <c r="L560" s="19">
        <v>1</v>
      </c>
      <c r="M560" s="20">
        <v>12675000</v>
      </c>
      <c r="N560" s="20">
        <v>10434600</v>
      </c>
      <c r="O560" s="20">
        <f t="shared" si="26"/>
        <v>2240400</v>
      </c>
      <c r="P560" t="s">
        <v>72</v>
      </c>
    </row>
    <row r="561" spans="1:16">
      <c r="A561" t="s">
        <v>641</v>
      </c>
      <c r="B561" s="18">
        <v>46078</v>
      </c>
      <c r="C561" s="19">
        <f t="shared" si="24"/>
        <v>2026</v>
      </c>
      <c r="D561" s="19" t="str">
        <f t="shared" si="25"/>
        <v>Feb</v>
      </c>
      <c r="E561" t="s">
        <v>33</v>
      </c>
      <c r="F561" t="s">
        <v>92</v>
      </c>
      <c r="G561" t="s">
        <v>93</v>
      </c>
      <c r="H561" t="s">
        <v>94</v>
      </c>
      <c r="I561" t="s">
        <v>56</v>
      </c>
      <c r="J561" t="s">
        <v>57</v>
      </c>
      <c r="K561" t="s">
        <v>58</v>
      </c>
      <c r="L561" s="19">
        <v>1</v>
      </c>
      <c r="M561" s="20">
        <v>1191000</v>
      </c>
      <c r="N561" s="20">
        <v>970700</v>
      </c>
      <c r="O561" s="20">
        <f t="shared" si="26"/>
        <v>220300</v>
      </c>
      <c r="P561" t="s">
        <v>24</v>
      </c>
    </row>
    <row r="562" spans="1:16">
      <c r="A562" t="s">
        <v>642</v>
      </c>
      <c r="B562" s="18">
        <v>46079</v>
      </c>
      <c r="C562" s="19">
        <f t="shared" si="24"/>
        <v>2026</v>
      </c>
      <c r="D562" s="19" t="str">
        <f t="shared" si="25"/>
        <v>Feb</v>
      </c>
      <c r="E562" t="s">
        <v>26</v>
      </c>
      <c r="F562" t="s">
        <v>27</v>
      </c>
      <c r="G562" t="s">
        <v>28</v>
      </c>
      <c r="H562" t="s">
        <v>39</v>
      </c>
      <c r="I562" t="s">
        <v>121</v>
      </c>
      <c r="J562" t="s">
        <v>57</v>
      </c>
      <c r="K562" t="s">
        <v>42</v>
      </c>
      <c r="L562" s="19">
        <v>1</v>
      </c>
      <c r="M562" s="20">
        <v>1544000</v>
      </c>
      <c r="N562" s="20">
        <v>1283600</v>
      </c>
      <c r="O562" s="20">
        <f t="shared" si="26"/>
        <v>260400</v>
      </c>
      <c r="P562" t="s">
        <v>78</v>
      </c>
    </row>
    <row r="563" spans="1:16">
      <c r="A563" t="s">
        <v>643</v>
      </c>
      <c r="B563" s="18">
        <v>46080</v>
      </c>
      <c r="C563" s="19">
        <f t="shared" si="24"/>
        <v>2026</v>
      </c>
      <c r="D563" s="19" t="str">
        <f t="shared" si="25"/>
        <v>Feb</v>
      </c>
      <c r="E563" t="s">
        <v>17</v>
      </c>
      <c r="F563" t="s">
        <v>18</v>
      </c>
      <c r="G563" t="s">
        <v>19</v>
      </c>
      <c r="H563" t="s">
        <v>74</v>
      </c>
      <c r="I563" t="s">
        <v>40</v>
      </c>
      <c r="J563" t="s">
        <v>41</v>
      </c>
      <c r="K563" t="s">
        <v>42</v>
      </c>
      <c r="L563" s="19">
        <v>1</v>
      </c>
      <c r="M563" s="20">
        <v>1778000</v>
      </c>
      <c r="N563" s="20">
        <v>1435000</v>
      </c>
      <c r="O563" s="20">
        <f t="shared" si="26"/>
        <v>343000</v>
      </c>
      <c r="P563" t="s">
        <v>54</v>
      </c>
    </row>
    <row r="564" spans="1:16">
      <c r="A564" t="s">
        <v>644</v>
      </c>
      <c r="B564" s="18">
        <v>46081</v>
      </c>
      <c r="C564" s="19">
        <f t="shared" si="24"/>
        <v>2026</v>
      </c>
      <c r="D564" s="19" t="str">
        <f t="shared" si="25"/>
        <v>Feb</v>
      </c>
      <c r="E564" t="s">
        <v>17</v>
      </c>
      <c r="F564" t="s">
        <v>18</v>
      </c>
      <c r="G564" t="s">
        <v>19</v>
      </c>
      <c r="H564" t="s">
        <v>20</v>
      </c>
      <c r="I564" t="s">
        <v>121</v>
      </c>
      <c r="J564" t="s">
        <v>57</v>
      </c>
      <c r="K564" t="s">
        <v>42</v>
      </c>
      <c r="L564" s="19">
        <v>1</v>
      </c>
      <c r="M564" s="20">
        <v>1630000</v>
      </c>
      <c r="N564" s="20">
        <v>1329100</v>
      </c>
      <c r="O564" s="20">
        <f t="shared" si="26"/>
        <v>300900</v>
      </c>
      <c r="P564" t="s">
        <v>31</v>
      </c>
    </row>
    <row r="565" spans="1:16">
      <c r="A565" t="s">
        <v>645</v>
      </c>
      <c r="B565" s="18">
        <v>46083</v>
      </c>
      <c r="C565" s="19">
        <f t="shared" si="24"/>
        <v>2026</v>
      </c>
      <c r="D565" s="19" t="str">
        <f t="shared" si="25"/>
        <v>Mar</v>
      </c>
      <c r="E565" t="s">
        <v>17</v>
      </c>
      <c r="F565" t="s">
        <v>51</v>
      </c>
      <c r="G565" t="s">
        <v>52</v>
      </c>
      <c r="H565" t="s">
        <v>70</v>
      </c>
      <c r="I565" t="s">
        <v>40</v>
      </c>
      <c r="J565" t="s">
        <v>41</v>
      </c>
      <c r="K565" t="s">
        <v>42</v>
      </c>
      <c r="L565" s="19">
        <v>1</v>
      </c>
      <c r="M565" s="20">
        <v>1752000</v>
      </c>
      <c r="N565" s="20">
        <v>1477700</v>
      </c>
      <c r="O565" s="20">
        <f t="shared" si="26"/>
        <v>274300</v>
      </c>
      <c r="P565" t="s">
        <v>37</v>
      </c>
    </row>
    <row r="566" spans="1:16">
      <c r="A566" t="s">
        <v>646</v>
      </c>
      <c r="B566" s="18">
        <v>46083</v>
      </c>
      <c r="C566" s="19">
        <f t="shared" si="24"/>
        <v>2026</v>
      </c>
      <c r="D566" s="19" t="str">
        <f t="shared" si="25"/>
        <v>Mar</v>
      </c>
      <c r="E566" t="s">
        <v>26</v>
      </c>
      <c r="F566" t="s">
        <v>27</v>
      </c>
      <c r="G566" t="s">
        <v>28</v>
      </c>
      <c r="H566" t="s">
        <v>29</v>
      </c>
      <c r="I566" t="s">
        <v>68</v>
      </c>
      <c r="J566" t="s">
        <v>49</v>
      </c>
      <c r="K566" t="s">
        <v>58</v>
      </c>
      <c r="L566" s="19">
        <v>1</v>
      </c>
      <c r="M566" s="20">
        <v>899000</v>
      </c>
      <c r="N566" s="20">
        <v>786900</v>
      </c>
      <c r="O566" s="20">
        <f t="shared" si="26"/>
        <v>112100</v>
      </c>
      <c r="P566" t="s">
        <v>31</v>
      </c>
    </row>
    <row r="567" spans="1:16">
      <c r="A567" t="s">
        <v>647</v>
      </c>
      <c r="B567" s="18">
        <v>46084</v>
      </c>
      <c r="C567" s="19">
        <f t="shared" si="24"/>
        <v>2026</v>
      </c>
      <c r="D567" s="19" t="str">
        <f t="shared" si="25"/>
        <v>Mar</v>
      </c>
      <c r="E567" t="s">
        <v>33</v>
      </c>
      <c r="F567" t="s">
        <v>81</v>
      </c>
      <c r="G567" t="s">
        <v>82</v>
      </c>
      <c r="H567" t="s">
        <v>83</v>
      </c>
      <c r="I567" t="s">
        <v>56</v>
      </c>
      <c r="J567" t="s">
        <v>57</v>
      </c>
      <c r="K567" t="s">
        <v>58</v>
      </c>
      <c r="L567" s="19">
        <v>1</v>
      </c>
      <c r="M567" s="20">
        <v>1261000</v>
      </c>
      <c r="N567" s="20">
        <v>1073100</v>
      </c>
      <c r="O567" s="20">
        <f t="shared" si="26"/>
        <v>187900</v>
      </c>
      <c r="P567" t="s">
        <v>72</v>
      </c>
    </row>
    <row r="568" spans="1:16">
      <c r="A568" t="s">
        <v>648</v>
      </c>
      <c r="B568" s="18">
        <v>46084</v>
      </c>
      <c r="C568" s="19">
        <f t="shared" si="24"/>
        <v>2026</v>
      </c>
      <c r="D568" s="19" t="str">
        <f t="shared" si="25"/>
        <v>Mar</v>
      </c>
      <c r="E568" t="s">
        <v>33</v>
      </c>
      <c r="F568" t="s">
        <v>92</v>
      </c>
      <c r="G568" t="s">
        <v>93</v>
      </c>
      <c r="H568" t="s">
        <v>94</v>
      </c>
      <c r="I568" t="s">
        <v>30</v>
      </c>
      <c r="J568" t="s">
        <v>22</v>
      </c>
      <c r="K568" t="s">
        <v>23</v>
      </c>
      <c r="L568" s="19">
        <v>1</v>
      </c>
      <c r="M568" s="20">
        <v>1842000</v>
      </c>
      <c r="N568" s="20">
        <v>1579000</v>
      </c>
      <c r="O568" s="20">
        <f t="shared" si="26"/>
        <v>263000</v>
      </c>
      <c r="P568" t="s">
        <v>31</v>
      </c>
    </row>
    <row r="569" spans="1:16">
      <c r="A569" t="s">
        <v>649</v>
      </c>
      <c r="B569" s="18">
        <v>46084</v>
      </c>
      <c r="C569" s="19">
        <f t="shared" si="24"/>
        <v>2026</v>
      </c>
      <c r="D569" s="19" t="str">
        <f t="shared" si="25"/>
        <v>Mar</v>
      </c>
      <c r="E569" t="s">
        <v>17</v>
      </c>
      <c r="F569" t="s">
        <v>18</v>
      </c>
      <c r="G569" t="s">
        <v>19</v>
      </c>
      <c r="H569" t="s">
        <v>74</v>
      </c>
      <c r="I569" t="s">
        <v>63</v>
      </c>
      <c r="J569" t="s">
        <v>41</v>
      </c>
      <c r="K569" t="s">
        <v>58</v>
      </c>
      <c r="L569" s="19">
        <v>1</v>
      </c>
      <c r="M569" s="20">
        <v>1315000</v>
      </c>
      <c r="N569" s="20">
        <v>1152100</v>
      </c>
      <c r="O569" s="20">
        <f t="shared" si="26"/>
        <v>162900</v>
      </c>
      <c r="P569" t="s">
        <v>24</v>
      </c>
    </row>
    <row r="570" spans="1:16">
      <c r="A570" t="s">
        <v>650</v>
      </c>
      <c r="B570" s="18">
        <v>46084</v>
      </c>
      <c r="C570" s="19">
        <f t="shared" si="24"/>
        <v>2026</v>
      </c>
      <c r="D570" s="19" t="str">
        <f t="shared" si="25"/>
        <v>Mar</v>
      </c>
      <c r="E570" t="s">
        <v>26</v>
      </c>
      <c r="F570" t="s">
        <v>131</v>
      </c>
      <c r="G570" t="s">
        <v>132</v>
      </c>
      <c r="H570" t="s">
        <v>133</v>
      </c>
      <c r="I570" t="s">
        <v>121</v>
      </c>
      <c r="J570" t="s">
        <v>57</v>
      </c>
      <c r="K570" t="s">
        <v>42</v>
      </c>
      <c r="L570" s="19">
        <v>1</v>
      </c>
      <c r="M570" s="20">
        <v>1639000</v>
      </c>
      <c r="N570" s="20">
        <v>1428400</v>
      </c>
      <c r="O570" s="20">
        <f t="shared" si="26"/>
        <v>210600</v>
      </c>
      <c r="P570" t="s">
        <v>24</v>
      </c>
    </row>
    <row r="571" spans="1:16">
      <c r="A571" t="s">
        <v>651</v>
      </c>
      <c r="B571" s="18">
        <v>46084</v>
      </c>
      <c r="C571" s="19">
        <f t="shared" si="24"/>
        <v>2026</v>
      </c>
      <c r="D571" s="19" t="str">
        <f t="shared" si="25"/>
        <v>Mar</v>
      </c>
      <c r="E571" t="s">
        <v>26</v>
      </c>
      <c r="F571" t="s">
        <v>131</v>
      </c>
      <c r="G571" t="s">
        <v>132</v>
      </c>
      <c r="H571" t="s">
        <v>133</v>
      </c>
      <c r="I571" t="s">
        <v>40</v>
      </c>
      <c r="J571" t="s">
        <v>41</v>
      </c>
      <c r="K571" t="s">
        <v>42</v>
      </c>
      <c r="L571" s="19">
        <v>1</v>
      </c>
      <c r="M571" s="20">
        <v>1772000</v>
      </c>
      <c r="N571" s="20">
        <v>1430100</v>
      </c>
      <c r="O571" s="20">
        <f t="shared" si="26"/>
        <v>341900</v>
      </c>
      <c r="P571" t="s">
        <v>54</v>
      </c>
    </row>
    <row r="572" spans="1:16">
      <c r="A572" t="s">
        <v>652</v>
      </c>
      <c r="B572" s="18">
        <v>46085</v>
      </c>
      <c r="C572" s="19">
        <f t="shared" si="24"/>
        <v>2026</v>
      </c>
      <c r="D572" s="19" t="str">
        <f t="shared" si="25"/>
        <v>Mar</v>
      </c>
      <c r="E572" t="s">
        <v>17</v>
      </c>
      <c r="F572" t="s">
        <v>18</v>
      </c>
      <c r="G572" t="s">
        <v>19</v>
      </c>
      <c r="H572" t="s">
        <v>74</v>
      </c>
      <c r="I572" t="s">
        <v>68</v>
      </c>
      <c r="J572" t="s">
        <v>49</v>
      </c>
      <c r="K572" t="s">
        <v>58</v>
      </c>
      <c r="L572" s="19">
        <v>1</v>
      </c>
      <c r="M572" s="20">
        <v>940000</v>
      </c>
      <c r="N572" s="20">
        <v>767100</v>
      </c>
      <c r="O572" s="20">
        <f t="shared" si="26"/>
        <v>172900</v>
      </c>
      <c r="P572" t="s">
        <v>78</v>
      </c>
    </row>
    <row r="573" spans="1:16">
      <c r="A573" t="s">
        <v>653</v>
      </c>
      <c r="B573" s="18">
        <v>46085</v>
      </c>
      <c r="C573" s="19">
        <f t="shared" si="24"/>
        <v>2026</v>
      </c>
      <c r="D573" s="19" t="str">
        <f t="shared" si="25"/>
        <v>Mar</v>
      </c>
      <c r="E573" t="s">
        <v>26</v>
      </c>
      <c r="F573" t="s">
        <v>27</v>
      </c>
      <c r="G573" t="s">
        <v>28</v>
      </c>
      <c r="H573" t="s">
        <v>29</v>
      </c>
      <c r="I573" t="s">
        <v>121</v>
      </c>
      <c r="J573" t="s">
        <v>57</v>
      </c>
      <c r="K573" t="s">
        <v>42</v>
      </c>
      <c r="L573" s="19">
        <v>1</v>
      </c>
      <c r="M573" s="20">
        <v>1633000</v>
      </c>
      <c r="N573" s="20">
        <v>1360400</v>
      </c>
      <c r="O573" s="20">
        <f t="shared" si="26"/>
        <v>272600</v>
      </c>
      <c r="P573" t="s">
        <v>31</v>
      </c>
    </row>
    <row r="574" spans="1:16">
      <c r="A574" t="s">
        <v>654</v>
      </c>
      <c r="B574" s="18">
        <v>46087</v>
      </c>
      <c r="C574" s="19">
        <f t="shared" si="24"/>
        <v>2026</v>
      </c>
      <c r="D574" s="19" t="str">
        <f t="shared" si="25"/>
        <v>Mar</v>
      </c>
      <c r="E574" t="s">
        <v>17</v>
      </c>
      <c r="F574" t="s">
        <v>18</v>
      </c>
      <c r="G574" t="s">
        <v>19</v>
      </c>
      <c r="H574" t="s">
        <v>74</v>
      </c>
      <c r="I574" t="s">
        <v>40</v>
      </c>
      <c r="J574" t="s">
        <v>41</v>
      </c>
      <c r="K574" t="s">
        <v>42</v>
      </c>
      <c r="L574" s="19">
        <v>1</v>
      </c>
      <c r="M574" s="20">
        <v>1778000</v>
      </c>
      <c r="N574" s="20">
        <v>1488100</v>
      </c>
      <c r="O574" s="20">
        <f t="shared" si="26"/>
        <v>289900</v>
      </c>
      <c r="P574" t="s">
        <v>31</v>
      </c>
    </row>
    <row r="575" spans="1:16">
      <c r="A575" t="s">
        <v>655</v>
      </c>
      <c r="B575" s="18">
        <v>46087</v>
      </c>
      <c r="C575" s="19">
        <f t="shared" si="24"/>
        <v>2026</v>
      </c>
      <c r="D575" s="19" t="str">
        <f t="shared" si="25"/>
        <v>Mar</v>
      </c>
      <c r="E575" t="s">
        <v>17</v>
      </c>
      <c r="F575" t="s">
        <v>18</v>
      </c>
      <c r="G575" t="s">
        <v>19</v>
      </c>
      <c r="H575" t="s">
        <v>74</v>
      </c>
      <c r="I575" t="s">
        <v>40</v>
      </c>
      <c r="J575" t="s">
        <v>41</v>
      </c>
      <c r="K575" t="s">
        <v>42</v>
      </c>
      <c r="L575" s="19">
        <v>1</v>
      </c>
      <c r="M575" s="20">
        <v>1669000</v>
      </c>
      <c r="N575" s="20">
        <v>1395900</v>
      </c>
      <c r="O575" s="20">
        <f t="shared" si="26"/>
        <v>273100</v>
      </c>
      <c r="P575" t="s">
        <v>54</v>
      </c>
    </row>
    <row r="576" spans="1:16">
      <c r="A576" t="s">
        <v>656</v>
      </c>
      <c r="B576" s="18">
        <v>46087</v>
      </c>
      <c r="C576" s="19">
        <f t="shared" si="24"/>
        <v>2026</v>
      </c>
      <c r="D576" s="19" t="str">
        <f t="shared" si="25"/>
        <v>Mar</v>
      </c>
      <c r="E576" t="s">
        <v>17</v>
      </c>
      <c r="F576" t="s">
        <v>51</v>
      </c>
      <c r="G576" t="s">
        <v>52</v>
      </c>
      <c r="H576" t="s">
        <v>70</v>
      </c>
      <c r="I576" t="s">
        <v>56</v>
      </c>
      <c r="J576" t="s">
        <v>57</v>
      </c>
      <c r="K576" t="s">
        <v>58</v>
      </c>
      <c r="L576" s="19">
        <v>1</v>
      </c>
      <c r="M576" s="20">
        <v>1205000</v>
      </c>
      <c r="N576" s="20">
        <v>979600</v>
      </c>
      <c r="O576" s="20">
        <f t="shared" si="26"/>
        <v>225400</v>
      </c>
      <c r="P576" t="s">
        <v>31</v>
      </c>
    </row>
    <row r="577" spans="1:16">
      <c r="A577" t="s">
        <v>657</v>
      </c>
      <c r="B577" s="18">
        <v>46087</v>
      </c>
      <c r="C577" s="19">
        <f t="shared" si="24"/>
        <v>2026</v>
      </c>
      <c r="D577" s="19" t="str">
        <f t="shared" si="25"/>
        <v>Mar</v>
      </c>
      <c r="E577" t="s">
        <v>44</v>
      </c>
      <c r="F577" t="s">
        <v>45</v>
      </c>
      <c r="G577" t="s">
        <v>46</v>
      </c>
      <c r="H577" t="s">
        <v>47</v>
      </c>
      <c r="I577" t="s">
        <v>68</v>
      </c>
      <c r="J577" t="s">
        <v>49</v>
      </c>
      <c r="K577" t="s">
        <v>58</v>
      </c>
      <c r="L577" s="19">
        <v>1</v>
      </c>
      <c r="M577" s="20">
        <v>940000</v>
      </c>
      <c r="N577" s="20">
        <v>801200</v>
      </c>
      <c r="O577" s="20">
        <f t="shared" si="26"/>
        <v>138800</v>
      </c>
      <c r="P577" t="s">
        <v>72</v>
      </c>
    </row>
    <row r="578" spans="1:16">
      <c r="A578" t="s">
        <v>658</v>
      </c>
      <c r="B578" s="18">
        <v>46087</v>
      </c>
      <c r="C578" s="19">
        <f t="shared" ref="C578:C641" si="27">YEAR(B578)</f>
        <v>2026</v>
      </c>
      <c r="D578" s="19" t="str">
        <f t="shared" ref="D578:D641" si="28">CHOOSE(MONTH(B578),"Jan","Feb","Mar","Apr","May","Jun","Jul","Aug","Sep","Oct","Nov","Dec")</f>
        <v>Mar</v>
      </c>
      <c r="E578" t="s">
        <v>26</v>
      </c>
      <c r="F578" t="s">
        <v>27</v>
      </c>
      <c r="G578" t="s">
        <v>28</v>
      </c>
      <c r="H578" t="s">
        <v>29</v>
      </c>
      <c r="I578" t="s">
        <v>56</v>
      </c>
      <c r="J578" t="s">
        <v>57</v>
      </c>
      <c r="K578" t="s">
        <v>58</v>
      </c>
      <c r="L578" s="19">
        <v>1</v>
      </c>
      <c r="M578" s="20">
        <v>1192000</v>
      </c>
      <c r="N578" s="20">
        <v>1035200</v>
      </c>
      <c r="O578" s="20">
        <f t="shared" ref="O578:O641" si="29">M578-N578</f>
        <v>156800</v>
      </c>
      <c r="P578" t="s">
        <v>31</v>
      </c>
    </row>
    <row r="579" spans="1:16">
      <c r="A579" t="s">
        <v>659</v>
      </c>
      <c r="B579" s="18">
        <v>46087</v>
      </c>
      <c r="C579" s="19">
        <f t="shared" si="27"/>
        <v>2026</v>
      </c>
      <c r="D579" s="19" t="str">
        <f t="shared" si="28"/>
        <v>Mar</v>
      </c>
      <c r="E579" t="s">
        <v>33</v>
      </c>
      <c r="F579" t="s">
        <v>34</v>
      </c>
      <c r="G579" t="s">
        <v>34</v>
      </c>
      <c r="H579" t="s">
        <v>35</v>
      </c>
      <c r="I579" t="s">
        <v>121</v>
      </c>
      <c r="J579" t="s">
        <v>57</v>
      </c>
      <c r="K579" t="s">
        <v>42</v>
      </c>
      <c r="L579" s="19">
        <v>1</v>
      </c>
      <c r="M579" s="20">
        <v>1525000</v>
      </c>
      <c r="N579" s="20">
        <v>1306300</v>
      </c>
      <c r="O579" s="20">
        <f t="shared" si="29"/>
        <v>218700</v>
      </c>
      <c r="P579" t="s">
        <v>24</v>
      </c>
    </row>
    <row r="580" spans="1:16">
      <c r="A580" t="s">
        <v>660</v>
      </c>
      <c r="B580" s="18">
        <v>46088</v>
      </c>
      <c r="C580" s="19">
        <f t="shared" si="27"/>
        <v>2026</v>
      </c>
      <c r="D580" s="19" t="str">
        <f t="shared" si="28"/>
        <v>Mar</v>
      </c>
      <c r="E580" t="s">
        <v>17</v>
      </c>
      <c r="F580" t="s">
        <v>18</v>
      </c>
      <c r="G580" t="s">
        <v>19</v>
      </c>
      <c r="H580" t="s">
        <v>74</v>
      </c>
      <c r="I580" t="s">
        <v>40</v>
      </c>
      <c r="J580" t="s">
        <v>41</v>
      </c>
      <c r="K580" t="s">
        <v>42</v>
      </c>
      <c r="L580" s="19">
        <v>1</v>
      </c>
      <c r="M580" s="20">
        <v>1753000</v>
      </c>
      <c r="N580" s="20">
        <v>1518500</v>
      </c>
      <c r="O580" s="20">
        <f t="shared" si="29"/>
        <v>234500</v>
      </c>
      <c r="P580" t="s">
        <v>31</v>
      </c>
    </row>
    <row r="581" spans="1:16">
      <c r="A581" t="s">
        <v>661</v>
      </c>
      <c r="B581" s="18">
        <v>46088</v>
      </c>
      <c r="C581" s="19">
        <f t="shared" si="27"/>
        <v>2026</v>
      </c>
      <c r="D581" s="19" t="str">
        <f t="shared" si="28"/>
        <v>Mar</v>
      </c>
      <c r="E581" t="s">
        <v>44</v>
      </c>
      <c r="F581" t="s">
        <v>45</v>
      </c>
      <c r="G581" t="s">
        <v>46</v>
      </c>
      <c r="H581" t="s">
        <v>47</v>
      </c>
      <c r="I581" t="s">
        <v>30</v>
      </c>
      <c r="J581" t="s">
        <v>22</v>
      </c>
      <c r="K581" t="s">
        <v>23</v>
      </c>
      <c r="L581" s="19">
        <v>1</v>
      </c>
      <c r="M581" s="20">
        <v>1782000</v>
      </c>
      <c r="N581" s="20">
        <v>1468800</v>
      </c>
      <c r="O581" s="20">
        <f t="shared" si="29"/>
        <v>313200</v>
      </c>
      <c r="P581" t="s">
        <v>78</v>
      </c>
    </row>
    <row r="582" spans="1:16">
      <c r="A582" t="s">
        <v>662</v>
      </c>
      <c r="B582" s="18">
        <v>46088</v>
      </c>
      <c r="C582" s="19">
        <f t="shared" si="27"/>
        <v>2026</v>
      </c>
      <c r="D582" s="19" t="str">
        <f t="shared" si="28"/>
        <v>Mar</v>
      </c>
      <c r="E582" t="s">
        <v>33</v>
      </c>
      <c r="F582" t="s">
        <v>81</v>
      </c>
      <c r="G582" t="s">
        <v>82</v>
      </c>
      <c r="H582" t="s">
        <v>83</v>
      </c>
      <c r="I582" t="s">
        <v>171</v>
      </c>
      <c r="J582" t="s">
        <v>22</v>
      </c>
      <c r="K582" t="s">
        <v>42</v>
      </c>
      <c r="L582" s="19">
        <v>1</v>
      </c>
      <c r="M582" s="20">
        <v>6336000</v>
      </c>
      <c r="N582" s="20">
        <v>5368600</v>
      </c>
      <c r="O582" s="20">
        <f t="shared" si="29"/>
        <v>967400</v>
      </c>
      <c r="P582" t="s">
        <v>72</v>
      </c>
    </row>
    <row r="583" spans="1:16">
      <c r="A583" t="s">
        <v>663</v>
      </c>
      <c r="B583" s="18">
        <v>46089</v>
      </c>
      <c r="C583" s="19">
        <f t="shared" si="27"/>
        <v>2026</v>
      </c>
      <c r="D583" s="19" t="str">
        <f t="shared" si="28"/>
        <v>Mar</v>
      </c>
      <c r="E583" t="s">
        <v>33</v>
      </c>
      <c r="F583" t="s">
        <v>81</v>
      </c>
      <c r="G583" t="s">
        <v>82</v>
      </c>
      <c r="H583" t="s">
        <v>83</v>
      </c>
      <c r="I583" t="s">
        <v>40</v>
      </c>
      <c r="J583" t="s">
        <v>41</v>
      </c>
      <c r="K583" t="s">
        <v>42</v>
      </c>
      <c r="L583" s="19">
        <v>1</v>
      </c>
      <c r="M583" s="20">
        <v>1656000</v>
      </c>
      <c r="N583" s="20">
        <v>1446900</v>
      </c>
      <c r="O583" s="20">
        <f t="shared" si="29"/>
        <v>209100</v>
      </c>
      <c r="P583" t="s">
        <v>31</v>
      </c>
    </row>
    <row r="584" spans="1:16">
      <c r="A584" t="s">
        <v>664</v>
      </c>
      <c r="B584" s="18">
        <v>46091</v>
      </c>
      <c r="C584" s="19">
        <f t="shared" si="27"/>
        <v>2026</v>
      </c>
      <c r="D584" s="19" t="str">
        <f t="shared" si="28"/>
        <v>Mar</v>
      </c>
      <c r="E584" t="s">
        <v>26</v>
      </c>
      <c r="F584" t="s">
        <v>27</v>
      </c>
      <c r="G584" t="s">
        <v>28</v>
      </c>
      <c r="H584" t="s">
        <v>29</v>
      </c>
      <c r="I584" t="s">
        <v>48</v>
      </c>
      <c r="J584" t="s">
        <v>49</v>
      </c>
      <c r="K584" t="s">
        <v>42</v>
      </c>
      <c r="L584" s="19">
        <v>1</v>
      </c>
      <c r="M584" s="20">
        <v>1259000</v>
      </c>
      <c r="N584" s="20">
        <v>1090800</v>
      </c>
      <c r="O584" s="20">
        <f t="shared" si="29"/>
        <v>168200</v>
      </c>
      <c r="P584" t="s">
        <v>31</v>
      </c>
    </row>
    <row r="585" spans="1:16">
      <c r="A585" t="s">
        <v>665</v>
      </c>
      <c r="B585" s="18">
        <v>46092</v>
      </c>
      <c r="C585" s="19">
        <f t="shared" si="27"/>
        <v>2026</v>
      </c>
      <c r="D585" s="19" t="str">
        <f t="shared" si="28"/>
        <v>Mar</v>
      </c>
      <c r="E585" t="s">
        <v>17</v>
      </c>
      <c r="F585" t="s">
        <v>51</v>
      </c>
      <c r="G585" t="s">
        <v>52</v>
      </c>
      <c r="H585" t="s">
        <v>70</v>
      </c>
      <c r="I585" t="s">
        <v>121</v>
      </c>
      <c r="J585" t="s">
        <v>57</v>
      </c>
      <c r="K585" t="s">
        <v>42</v>
      </c>
      <c r="L585" s="19">
        <v>1</v>
      </c>
      <c r="M585" s="20">
        <v>1597000</v>
      </c>
      <c r="N585" s="20">
        <v>1285400</v>
      </c>
      <c r="O585" s="20">
        <f t="shared" si="29"/>
        <v>311600</v>
      </c>
      <c r="P585" t="s">
        <v>72</v>
      </c>
    </row>
    <row r="586" spans="1:16">
      <c r="A586" t="s">
        <v>666</v>
      </c>
      <c r="B586" s="18">
        <v>46093</v>
      </c>
      <c r="C586" s="19">
        <f t="shared" si="27"/>
        <v>2026</v>
      </c>
      <c r="D586" s="19" t="str">
        <f t="shared" si="28"/>
        <v>Mar</v>
      </c>
      <c r="E586" t="s">
        <v>17</v>
      </c>
      <c r="F586" t="s">
        <v>51</v>
      </c>
      <c r="G586" t="s">
        <v>98</v>
      </c>
      <c r="H586" t="s">
        <v>99</v>
      </c>
      <c r="I586" t="s">
        <v>68</v>
      </c>
      <c r="J586" t="s">
        <v>49</v>
      </c>
      <c r="K586" t="s">
        <v>58</v>
      </c>
      <c r="L586" s="19">
        <v>1</v>
      </c>
      <c r="M586" s="20">
        <v>945000</v>
      </c>
      <c r="N586" s="20">
        <v>820600</v>
      </c>
      <c r="O586" s="20">
        <f t="shared" si="29"/>
        <v>124400</v>
      </c>
      <c r="P586" t="s">
        <v>78</v>
      </c>
    </row>
    <row r="587" spans="1:16">
      <c r="A587" t="s">
        <v>667</v>
      </c>
      <c r="B587" s="18">
        <v>46094</v>
      </c>
      <c r="C587" s="19">
        <f t="shared" si="27"/>
        <v>2026</v>
      </c>
      <c r="D587" s="19" t="str">
        <f t="shared" si="28"/>
        <v>Mar</v>
      </c>
      <c r="E587" t="s">
        <v>17</v>
      </c>
      <c r="F587" t="s">
        <v>51</v>
      </c>
      <c r="G587" t="s">
        <v>52</v>
      </c>
      <c r="H587" t="s">
        <v>53</v>
      </c>
      <c r="I587" t="s">
        <v>68</v>
      </c>
      <c r="J587" t="s">
        <v>49</v>
      </c>
      <c r="K587" t="s">
        <v>58</v>
      </c>
      <c r="L587" s="19">
        <v>1</v>
      </c>
      <c r="M587" s="20">
        <v>945000</v>
      </c>
      <c r="N587" s="20">
        <v>790000</v>
      </c>
      <c r="O587" s="20">
        <f t="shared" si="29"/>
        <v>155000</v>
      </c>
      <c r="P587" t="s">
        <v>31</v>
      </c>
    </row>
    <row r="588" spans="1:16">
      <c r="A588" t="s">
        <v>668</v>
      </c>
      <c r="B588" s="18">
        <v>46094</v>
      </c>
      <c r="C588" s="19">
        <f t="shared" si="27"/>
        <v>2026</v>
      </c>
      <c r="D588" s="19" t="str">
        <f t="shared" si="28"/>
        <v>Mar</v>
      </c>
      <c r="E588" t="s">
        <v>33</v>
      </c>
      <c r="F588" t="s">
        <v>34</v>
      </c>
      <c r="G588" t="s">
        <v>34</v>
      </c>
      <c r="H588" t="s">
        <v>102</v>
      </c>
      <c r="I588" t="s">
        <v>68</v>
      </c>
      <c r="J588" t="s">
        <v>49</v>
      </c>
      <c r="K588" t="s">
        <v>58</v>
      </c>
      <c r="L588" s="19">
        <v>1</v>
      </c>
      <c r="M588" s="20">
        <v>905000</v>
      </c>
      <c r="N588" s="20">
        <v>743400</v>
      </c>
      <c r="O588" s="20">
        <f t="shared" si="29"/>
        <v>161600</v>
      </c>
      <c r="P588" t="s">
        <v>24</v>
      </c>
    </row>
    <row r="589" spans="1:16">
      <c r="A589" t="s">
        <v>669</v>
      </c>
      <c r="B589" s="18">
        <v>46094</v>
      </c>
      <c r="C589" s="19">
        <f t="shared" si="27"/>
        <v>2026</v>
      </c>
      <c r="D589" s="19" t="str">
        <f t="shared" si="28"/>
        <v>Mar</v>
      </c>
      <c r="E589" t="s">
        <v>17</v>
      </c>
      <c r="F589" t="s">
        <v>51</v>
      </c>
      <c r="G589" t="s">
        <v>52</v>
      </c>
      <c r="H589" t="s">
        <v>53</v>
      </c>
      <c r="I589" t="s">
        <v>171</v>
      </c>
      <c r="J589" t="s">
        <v>22</v>
      </c>
      <c r="K589" t="s">
        <v>42</v>
      </c>
      <c r="L589" s="19">
        <v>1</v>
      </c>
      <c r="M589" s="20">
        <v>6175000</v>
      </c>
      <c r="N589" s="20">
        <v>4944900</v>
      </c>
      <c r="O589" s="20">
        <f t="shared" si="29"/>
        <v>1230100</v>
      </c>
      <c r="P589" t="s">
        <v>31</v>
      </c>
    </row>
    <row r="590" spans="1:16">
      <c r="A590" t="s">
        <v>670</v>
      </c>
      <c r="B590" s="18">
        <v>46094</v>
      </c>
      <c r="C590" s="19">
        <f t="shared" si="27"/>
        <v>2026</v>
      </c>
      <c r="D590" s="19" t="str">
        <f t="shared" si="28"/>
        <v>Mar</v>
      </c>
      <c r="E590" t="s">
        <v>17</v>
      </c>
      <c r="F590" t="s">
        <v>18</v>
      </c>
      <c r="G590" t="s">
        <v>19</v>
      </c>
      <c r="H590" t="s">
        <v>74</v>
      </c>
      <c r="I590" t="s">
        <v>40</v>
      </c>
      <c r="J590" t="s">
        <v>41</v>
      </c>
      <c r="K590" t="s">
        <v>42</v>
      </c>
      <c r="L590" s="19">
        <v>1</v>
      </c>
      <c r="M590" s="20">
        <v>1767000</v>
      </c>
      <c r="N590" s="20">
        <v>1441500</v>
      </c>
      <c r="O590" s="20">
        <f t="shared" si="29"/>
        <v>325500</v>
      </c>
      <c r="P590" t="s">
        <v>78</v>
      </c>
    </row>
    <row r="591" spans="1:16">
      <c r="A591" t="s">
        <v>671</v>
      </c>
      <c r="B591" s="18">
        <v>46094</v>
      </c>
      <c r="C591" s="19">
        <f t="shared" si="27"/>
        <v>2026</v>
      </c>
      <c r="D591" s="19" t="str">
        <f t="shared" si="28"/>
        <v>Mar</v>
      </c>
      <c r="E591" t="s">
        <v>17</v>
      </c>
      <c r="F591" t="s">
        <v>51</v>
      </c>
      <c r="G591" t="s">
        <v>98</v>
      </c>
      <c r="H591" t="s">
        <v>99</v>
      </c>
      <c r="I591" t="s">
        <v>56</v>
      </c>
      <c r="J591" t="s">
        <v>57</v>
      </c>
      <c r="K591" t="s">
        <v>58</v>
      </c>
      <c r="L591" s="19">
        <v>1</v>
      </c>
      <c r="M591" s="20">
        <v>1180000</v>
      </c>
      <c r="N591" s="20">
        <v>1029500</v>
      </c>
      <c r="O591" s="20">
        <f t="shared" si="29"/>
        <v>150500</v>
      </c>
      <c r="P591" t="s">
        <v>24</v>
      </c>
    </row>
    <row r="592" spans="1:16">
      <c r="A592" t="s">
        <v>672</v>
      </c>
      <c r="B592" s="18">
        <v>46095</v>
      </c>
      <c r="C592" s="19">
        <f t="shared" si="27"/>
        <v>2026</v>
      </c>
      <c r="D592" s="19" t="str">
        <f t="shared" si="28"/>
        <v>Mar</v>
      </c>
      <c r="E592" t="s">
        <v>26</v>
      </c>
      <c r="F592" t="s">
        <v>27</v>
      </c>
      <c r="G592" t="s">
        <v>28</v>
      </c>
      <c r="H592" t="s">
        <v>39</v>
      </c>
      <c r="I592" t="s">
        <v>121</v>
      </c>
      <c r="J592" t="s">
        <v>57</v>
      </c>
      <c r="K592" t="s">
        <v>42</v>
      </c>
      <c r="L592" s="19">
        <v>1</v>
      </c>
      <c r="M592" s="20">
        <v>1567000</v>
      </c>
      <c r="N592" s="20">
        <v>1259600</v>
      </c>
      <c r="O592" s="20">
        <f t="shared" si="29"/>
        <v>307400</v>
      </c>
      <c r="P592" t="s">
        <v>78</v>
      </c>
    </row>
    <row r="593" spans="1:16">
      <c r="A593" t="s">
        <v>673</v>
      </c>
      <c r="B593" s="18">
        <v>46095</v>
      </c>
      <c r="C593" s="19">
        <f t="shared" si="27"/>
        <v>2026</v>
      </c>
      <c r="D593" s="19" t="str">
        <f t="shared" si="28"/>
        <v>Mar</v>
      </c>
      <c r="E593" t="s">
        <v>33</v>
      </c>
      <c r="F593" t="s">
        <v>34</v>
      </c>
      <c r="G593" t="s">
        <v>34</v>
      </c>
      <c r="H593" t="s">
        <v>35</v>
      </c>
      <c r="I593" t="s">
        <v>40</v>
      </c>
      <c r="J593" t="s">
        <v>41</v>
      </c>
      <c r="K593" t="s">
        <v>42</v>
      </c>
      <c r="L593" s="19">
        <v>1</v>
      </c>
      <c r="M593" s="20">
        <v>1741000</v>
      </c>
      <c r="N593" s="20">
        <v>1435100</v>
      </c>
      <c r="O593" s="20">
        <f t="shared" si="29"/>
        <v>305900</v>
      </c>
      <c r="P593" t="s">
        <v>54</v>
      </c>
    </row>
    <row r="594" spans="1:16">
      <c r="A594" t="s">
        <v>674</v>
      </c>
      <c r="B594" s="18">
        <v>46095</v>
      </c>
      <c r="C594" s="19">
        <f t="shared" si="27"/>
        <v>2026</v>
      </c>
      <c r="D594" s="19" t="str">
        <f t="shared" si="28"/>
        <v>Mar</v>
      </c>
      <c r="E594" t="s">
        <v>26</v>
      </c>
      <c r="F594" t="s">
        <v>65</v>
      </c>
      <c r="G594" t="s">
        <v>66</v>
      </c>
      <c r="H594" t="s">
        <v>67</v>
      </c>
      <c r="I594" t="s">
        <v>171</v>
      </c>
      <c r="J594" t="s">
        <v>22</v>
      </c>
      <c r="K594" t="s">
        <v>42</v>
      </c>
      <c r="L594" s="19">
        <v>1</v>
      </c>
      <c r="M594" s="20">
        <v>6269000</v>
      </c>
      <c r="N594" s="20">
        <v>5112300</v>
      </c>
      <c r="O594" s="20">
        <f t="shared" si="29"/>
        <v>1156700</v>
      </c>
      <c r="P594" t="s">
        <v>78</v>
      </c>
    </row>
    <row r="595" spans="1:16">
      <c r="A595" t="s">
        <v>675</v>
      </c>
      <c r="B595" s="18">
        <v>46096</v>
      </c>
      <c r="C595" s="19">
        <f t="shared" si="27"/>
        <v>2026</v>
      </c>
      <c r="D595" s="19" t="str">
        <f t="shared" si="28"/>
        <v>Mar</v>
      </c>
      <c r="E595" t="s">
        <v>33</v>
      </c>
      <c r="F595" t="s">
        <v>81</v>
      </c>
      <c r="G595" t="s">
        <v>82</v>
      </c>
      <c r="H595" t="s">
        <v>83</v>
      </c>
      <c r="I595" t="s">
        <v>40</v>
      </c>
      <c r="J595" t="s">
        <v>41</v>
      </c>
      <c r="K595" t="s">
        <v>42</v>
      </c>
      <c r="L595" s="19">
        <v>1</v>
      </c>
      <c r="M595" s="20">
        <v>1757000</v>
      </c>
      <c r="N595" s="20">
        <v>1545600</v>
      </c>
      <c r="O595" s="20">
        <f t="shared" si="29"/>
        <v>211400</v>
      </c>
      <c r="P595" t="s">
        <v>37</v>
      </c>
    </row>
    <row r="596" spans="1:16">
      <c r="A596" t="s">
        <v>676</v>
      </c>
      <c r="B596" s="18">
        <v>46096</v>
      </c>
      <c r="C596" s="19">
        <f t="shared" si="27"/>
        <v>2026</v>
      </c>
      <c r="D596" s="19" t="str">
        <f t="shared" si="28"/>
        <v>Mar</v>
      </c>
      <c r="E596" t="s">
        <v>26</v>
      </c>
      <c r="F596" t="s">
        <v>65</v>
      </c>
      <c r="G596" t="s">
        <v>66</v>
      </c>
      <c r="H596" t="s">
        <v>67</v>
      </c>
      <c r="I596" t="s">
        <v>40</v>
      </c>
      <c r="J596" t="s">
        <v>41</v>
      </c>
      <c r="K596" t="s">
        <v>42</v>
      </c>
      <c r="L596" s="19">
        <v>1</v>
      </c>
      <c r="M596" s="20">
        <v>1774000</v>
      </c>
      <c r="N596" s="20">
        <v>1462200</v>
      </c>
      <c r="O596" s="20">
        <f t="shared" si="29"/>
        <v>311800</v>
      </c>
      <c r="P596" t="s">
        <v>54</v>
      </c>
    </row>
    <row r="597" spans="1:16">
      <c r="A597" t="s">
        <v>677</v>
      </c>
      <c r="B597" s="18">
        <v>46097</v>
      </c>
      <c r="C597" s="19">
        <f t="shared" si="27"/>
        <v>2026</v>
      </c>
      <c r="D597" s="19" t="str">
        <f t="shared" si="28"/>
        <v>Mar</v>
      </c>
      <c r="E597" t="s">
        <v>26</v>
      </c>
      <c r="F597" t="s">
        <v>27</v>
      </c>
      <c r="G597" t="s">
        <v>28</v>
      </c>
      <c r="H597" t="s">
        <v>39</v>
      </c>
      <c r="I597" t="s">
        <v>121</v>
      </c>
      <c r="J597" t="s">
        <v>57</v>
      </c>
      <c r="K597" t="s">
        <v>42</v>
      </c>
      <c r="L597" s="19">
        <v>1</v>
      </c>
      <c r="M597" s="20">
        <v>1620000</v>
      </c>
      <c r="N597" s="20">
        <v>1389200</v>
      </c>
      <c r="O597" s="20">
        <f t="shared" si="29"/>
        <v>230800</v>
      </c>
      <c r="P597" t="s">
        <v>24</v>
      </c>
    </row>
    <row r="598" spans="1:16">
      <c r="A598" t="s">
        <v>678</v>
      </c>
      <c r="B598" s="18">
        <v>46098</v>
      </c>
      <c r="C598" s="19">
        <f t="shared" si="27"/>
        <v>2026</v>
      </c>
      <c r="D598" s="19" t="str">
        <f t="shared" si="28"/>
        <v>Mar</v>
      </c>
      <c r="E598" t="s">
        <v>26</v>
      </c>
      <c r="F598" t="s">
        <v>65</v>
      </c>
      <c r="G598" t="s">
        <v>66</v>
      </c>
      <c r="H598" t="s">
        <v>67</v>
      </c>
      <c r="I598" t="s">
        <v>68</v>
      </c>
      <c r="J598" t="s">
        <v>49</v>
      </c>
      <c r="K598" t="s">
        <v>58</v>
      </c>
      <c r="L598" s="19">
        <v>1</v>
      </c>
      <c r="M598" s="20">
        <v>929000</v>
      </c>
      <c r="N598" s="20">
        <v>751000</v>
      </c>
      <c r="O598" s="20">
        <f t="shared" si="29"/>
        <v>178000</v>
      </c>
      <c r="P598" t="s">
        <v>24</v>
      </c>
    </row>
    <row r="599" spans="1:16">
      <c r="A599" t="s">
        <v>679</v>
      </c>
      <c r="B599" s="18">
        <v>46098</v>
      </c>
      <c r="C599" s="19">
        <f t="shared" si="27"/>
        <v>2026</v>
      </c>
      <c r="D599" s="19" t="str">
        <f t="shared" si="28"/>
        <v>Mar</v>
      </c>
      <c r="E599" t="s">
        <v>26</v>
      </c>
      <c r="F599" t="s">
        <v>65</v>
      </c>
      <c r="G599" t="s">
        <v>66</v>
      </c>
      <c r="H599" t="s">
        <v>67</v>
      </c>
      <c r="I599" t="s">
        <v>68</v>
      </c>
      <c r="J599" t="s">
        <v>49</v>
      </c>
      <c r="K599" t="s">
        <v>58</v>
      </c>
      <c r="L599" s="19">
        <v>1</v>
      </c>
      <c r="M599" s="20">
        <v>948000</v>
      </c>
      <c r="N599" s="20">
        <v>771600</v>
      </c>
      <c r="O599" s="20">
        <f t="shared" si="29"/>
        <v>176400</v>
      </c>
      <c r="P599" t="s">
        <v>31</v>
      </c>
    </row>
    <row r="600" spans="1:16">
      <c r="A600" t="s">
        <v>680</v>
      </c>
      <c r="B600" s="18">
        <v>46098</v>
      </c>
      <c r="C600" s="19">
        <f t="shared" si="27"/>
        <v>2026</v>
      </c>
      <c r="D600" s="19" t="str">
        <f t="shared" si="28"/>
        <v>Mar</v>
      </c>
      <c r="E600" t="s">
        <v>17</v>
      </c>
      <c r="F600" t="s">
        <v>18</v>
      </c>
      <c r="G600" t="s">
        <v>19</v>
      </c>
      <c r="H600" t="s">
        <v>74</v>
      </c>
      <c r="I600" t="s">
        <v>68</v>
      </c>
      <c r="J600" t="s">
        <v>49</v>
      </c>
      <c r="K600" t="s">
        <v>58</v>
      </c>
      <c r="L600" s="19">
        <v>1</v>
      </c>
      <c r="M600" s="20">
        <v>935000</v>
      </c>
      <c r="N600" s="20">
        <v>813900</v>
      </c>
      <c r="O600" s="20">
        <f t="shared" si="29"/>
        <v>121100</v>
      </c>
      <c r="P600" t="s">
        <v>24</v>
      </c>
    </row>
    <row r="601" spans="1:16">
      <c r="A601" t="s">
        <v>681</v>
      </c>
      <c r="B601" s="18">
        <v>46098</v>
      </c>
      <c r="C601" s="19">
        <f t="shared" si="27"/>
        <v>2026</v>
      </c>
      <c r="D601" s="19" t="str">
        <f t="shared" si="28"/>
        <v>Mar</v>
      </c>
      <c r="E601" t="s">
        <v>17</v>
      </c>
      <c r="F601" t="s">
        <v>51</v>
      </c>
      <c r="G601" t="s">
        <v>98</v>
      </c>
      <c r="H601" t="s">
        <v>99</v>
      </c>
      <c r="I601" t="s">
        <v>63</v>
      </c>
      <c r="J601" t="s">
        <v>41</v>
      </c>
      <c r="K601" t="s">
        <v>58</v>
      </c>
      <c r="L601" s="19">
        <v>1</v>
      </c>
      <c r="M601" s="20">
        <v>1327000</v>
      </c>
      <c r="N601" s="20">
        <v>1097600</v>
      </c>
      <c r="O601" s="20">
        <f t="shared" si="29"/>
        <v>229400</v>
      </c>
      <c r="P601" t="s">
        <v>54</v>
      </c>
    </row>
    <row r="602" spans="1:16">
      <c r="A602" t="s">
        <v>682</v>
      </c>
      <c r="B602" s="18">
        <v>46099</v>
      </c>
      <c r="C602" s="19">
        <f t="shared" si="27"/>
        <v>2026</v>
      </c>
      <c r="D602" s="19" t="str">
        <f t="shared" si="28"/>
        <v>Mar</v>
      </c>
      <c r="E602" t="s">
        <v>17</v>
      </c>
      <c r="F602" t="s">
        <v>51</v>
      </c>
      <c r="G602" t="s">
        <v>52</v>
      </c>
      <c r="H602" t="s">
        <v>53</v>
      </c>
      <c r="I602" t="s">
        <v>63</v>
      </c>
      <c r="J602" t="s">
        <v>41</v>
      </c>
      <c r="K602" t="s">
        <v>58</v>
      </c>
      <c r="L602" s="19">
        <v>1</v>
      </c>
      <c r="M602" s="20">
        <v>1338000</v>
      </c>
      <c r="N602" s="20">
        <v>1133700</v>
      </c>
      <c r="O602" s="20">
        <f t="shared" si="29"/>
        <v>204300</v>
      </c>
      <c r="P602" t="s">
        <v>31</v>
      </c>
    </row>
    <row r="603" spans="1:16">
      <c r="A603" t="s">
        <v>683</v>
      </c>
      <c r="B603" s="18">
        <v>46099</v>
      </c>
      <c r="C603" s="19">
        <f t="shared" si="27"/>
        <v>2026</v>
      </c>
      <c r="D603" s="19" t="str">
        <f t="shared" si="28"/>
        <v>Mar</v>
      </c>
      <c r="E603" t="s">
        <v>17</v>
      </c>
      <c r="F603" t="s">
        <v>18</v>
      </c>
      <c r="G603" t="s">
        <v>19</v>
      </c>
      <c r="H603" t="s">
        <v>74</v>
      </c>
      <c r="I603" t="s">
        <v>68</v>
      </c>
      <c r="J603" t="s">
        <v>49</v>
      </c>
      <c r="K603" t="s">
        <v>58</v>
      </c>
      <c r="L603" s="19">
        <v>1</v>
      </c>
      <c r="M603" s="20">
        <v>929000</v>
      </c>
      <c r="N603" s="20">
        <v>782600</v>
      </c>
      <c r="O603" s="20">
        <f t="shared" si="29"/>
        <v>146400</v>
      </c>
      <c r="P603" t="s">
        <v>31</v>
      </c>
    </row>
    <row r="604" spans="1:16">
      <c r="A604" t="s">
        <v>684</v>
      </c>
      <c r="B604" s="18">
        <v>46100</v>
      </c>
      <c r="C604" s="19">
        <f t="shared" si="27"/>
        <v>2026</v>
      </c>
      <c r="D604" s="19" t="str">
        <f t="shared" si="28"/>
        <v>Mar</v>
      </c>
      <c r="E604" t="s">
        <v>17</v>
      </c>
      <c r="F604" t="s">
        <v>51</v>
      </c>
      <c r="G604" t="s">
        <v>98</v>
      </c>
      <c r="H604" t="s">
        <v>99</v>
      </c>
      <c r="I604" t="s">
        <v>71</v>
      </c>
      <c r="J604" t="s">
        <v>49</v>
      </c>
      <c r="K604" t="s">
        <v>58</v>
      </c>
      <c r="L604" s="19">
        <v>1</v>
      </c>
      <c r="M604" s="20">
        <v>1006000</v>
      </c>
      <c r="N604" s="20">
        <v>883400</v>
      </c>
      <c r="O604" s="20">
        <f t="shared" si="29"/>
        <v>122600</v>
      </c>
      <c r="P604" t="s">
        <v>78</v>
      </c>
    </row>
    <row r="605" spans="1:16">
      <c r="A605" t="s">
        <v>685</v>
      </c>
      <c r="B605" s="18">
        <v>46100</v>
      </c>
      <c r="C605" s="19">
        <f t="shared" si="27"/>
        <v>2026</v>
      </c>
      <c r="D605" s="19" t="str">
        <f t="shared" si="28"/>
        <v>Mar</v>
      </c>
      <c r="E605" t="s">
        <v>17</v>
      </c>
      <c r="F605" t="s">
        <v>51</v>
      </c>
      <c r="G605" t="s">
        <v>52</v>
      </c>
      <c r="H605" t="s">
        <v>70</v>
      </c>
      <c r="I605" t="s">
        <v>56</v>
      </c>
      <c r="J605" t="s">
        <v>57</v>
      </c>
      <c r="K605" t="s">
        <v>58</v>
      </c>
      <c r="L605" s="19">
        <v>1</v>
      </c>
      <c r="M605" s="20">
        <v>1249000</v>
      </c>
      <c r="N605" s="20">
        <v>1040500</v>
      </c>
      <c r="O605" s="20">
        <f t="shared" si="29"/>
        <v>208500</v>
      </c>
      <c r="P605" t="s">
        <v>72</v>
      </c>
    </row>
    <row r="606" spans="1:16">
      <c r="A606" t="s">
        <v>686</v>
      </c>
      <c r="B606" s="18">
        <v>46100</v>
      </c>
      <c r="C606" s="19">
        <f t="shared" si="27"/>
        <v>2026</v>
      </c>
      <c r="D606" s="19" t="str">
        <f t="shared" si="28"/>
        <v>Mar</v>
      </c>
      <c r="E606" t="s">
        <v>33</v>
      </c>
      <c r="F606" t="s">
        <v>34</v>
      </c>
      <c r="G606" t="s">
        <v>34</v>
      </c>
      <c r="H606" t="s">
        <v>102</v>
      </c>
      <c r="I606" t="s">
        <v>63</v>
      </c>
      <c r="J606" t="s">
        <v>41</v>
      </c>
      <c r="K606" t="s">
        <v>58</v>
      </c>
      <c r="L606" s="19">
        <v>1</v>
      </c>
      <c r="M606" s="20">
        <v>1372000</v>
      </c>
      <c r="N606" s="20">
        <v>1111500</v>
      </c>
      <c r="O606" s="20">
        <f t="shared" si="29"/>
        <v>260500</v>
      </c>
      <c r="P606" t="s">
        <v>31</v>
      </c>
    </row>
    <row r="607" spans="1:16">
      <c r="A607" t="s">
        <v>687</v>
      </c>
      <c r="B607" s="18">
        <v>46100</v>
      </c>
      <c r="C607" s="19">
        <f t="shared" si="27"/>
        <v>2026</v>
      </c>
      <c r="D607" s="19" t="str">
        <f t="shared" si="28"/>
        <v>Mar</v>
      </c>
      <c r="E607" t="s">
        <v>44</v>
      </c>
      <c r="F607" t="s">
        <v>118</v>
      </c>
      <c r="G607" t="s">
        <v>119</v>
      </c>
      <c r="H607" t="s">
        <v>120</v>
      </c>
      <c r="I607" t="s">
        <v>30</v>
      </c>
      <c r="J607" t="s">
        <v>22</v>
      </c>
      <c r="K607" t="s">
        <v>23</v>
      </c>
      <c r="L607" s="19">
        <v>1</v>
      </c>
      <c r="M607" s="20">
        <v>1778000</v>
      </c>
      <c r="N607" s="20">
        <v>1561000</v>
      </c>
      <c r="O607" s="20">
        <f t="shared" si="29"/>
        <v>217000</v>
      </c>
      <c r="P607" t="s">
        <v>24</v>
      </c>
    </row>
    <row r="608" spans="1:16">
      <c r="A608" t="s">
        <v>688</v>
      </c>
      <c r="B608" s="18">
        <v>46100</v>
      </c>
      <c r="C608" s="19">
        <f t="shared" si="27"/>
        <v>2026</v>
      </c>
      <c r="D608" s="19" t="str">
        <f t="shared" si="28"/>
        <v>Mar</v>
      </c>
      <c r="E608" t="s">
        <v>17</v>
      </c>
      <c r="F608" t="s">
        <v>51</v>
      </c>
      <c r="G608" t="s">
        <v>52</v>
      </c>
      <c r="H608" t="s">
        <v>70</v>
      </c>
      <c r="I608" t="s">
        <v>48</v>
      </c>
      <c r="J608" t="s">
        <v>49</v>
      </c>
      <c r="K608" t="s">
        <v>42</v>
      </c>
      <c r="L608" s="19">
        <v>1</v>
      </c>
      <c r="M608" s="20">
        <v>1249000</v>
      </c>
      <c r="N608" s="20">
        <v>1051100</v>
      </c>
      <c r="O608" s="20">
        <f t="shared" si="29"/>
        <v>197900</v>
      </c>
      <c r="P608" t="s">
        <v>31</v>
      </c>
    </row>
    <row r="609" spans="1:16">
      <c r="A609" t="s">
        <v>689</v>
      </c>
      <c r="B609" s="18">
        <v>46102</v>
      </c>
      <c r="C609" s="19">
        <f t="shared" si="27"/>
        <v>2026</v>
      </c>
      <c r="D609" s="19" t="str">
        <f t="shared" si="28"/>
        <v>Mar</v>
      </c>
      <c r="E609" t="s">
        <v>17</v>
      </c>
      <c r="F609" t="s">
        <v>18</v>
      </c>
      <c r="G609" t="s">
        <v>60</v>
      </c>
      <c r="H609" t="s">
        <v>61</v>
      </c>
      <c r="I609" t="s">
        <v>56</v>
      </c>
      <c r="J609" t="s">
        <v>57</v>
      </c>
      <c r="K609" t="s">
        <v>58</v>
      </c>
      <c r="L609" s="19">
        <v>1</v>
      </c>
      <c r="M609" s="20">
        <v>1199000</v>
      </c>
      <c r="N609" s="20">
        <v>1041900</v>
      </c>
      <c r="O609" s="20">
        <f t="shared" si="29"/>
        <v>157100</v>
      </c>
      <c r="P609" t="s">
        <v>24</v>
      </c>
    </row>
    <row r="610" spans="1:16">
      <c r="A610" t="s">
        <v>690</v>
      </c>
      <c r="B610" s="18">
        <v>46102</v>
      </c>
      <c r="C610" s="19">
        <f t="shared" si="27"/>
        <v>2026</v>
      </c>
      <c r="D610" s="19" t="str">
        <f t="shared" si="28"/>
        <v>Mar</v>
      </c>
      <c r="E610" t="s">
        <v>17</v>
      </c>
      <c r="F610" t="s">
        <v>51</v>
      </c>
      <c r="G610" t="s">
        <v>52</v>
      </c>
      <c r="H610" t="s">
        <v>53</v>
      </c>
      <c r="I610" t="s">
        <v>40</v>
      </c>
      <c r="J610" t="s">
        <v>41</v>
      </c>
      <c r="K610" t="s">
        <v>42</v>
      </c>
      <c r="L610" s="19">
        <v>1</v>
      </c>
      <c r="M610" s="20">
        <v>1712000</v>
      </c>
      <c r="N610" s="20">
        <v>1503200</v>
      </c>
      <c r="O610" s="20">
        <f t="shared" si="29"/>
        <v>208800</v>
      </c>
      <c r="P610" t="s">
        <v>37</v>
      </c>
    </row>
    <row r="611" spans="1:16">
      <c r="A611" t="s">
        <v>691</v>
      </c>
      <c r="B611" s="18">
        <v>46102</v>
      </c>
      <c r="C611" s="19">
        <f t="shared" si="27"/>
        <v>2026</v>
      </c>
      <c r="D611" s="19" t="str">
        <f t="shared" si="28"/>
        <v>Mar</v>
      </c>
      <c r="E611" t="s">
        <v>17</v>
      </c>
      <c r="F611" t="s">
        <v>18</v>
      </c>
      <c r="G611" t="s">
        <v>60</v>
      </c>
      <c r="H611" t="s">
        <v>61</v>
      </c>
      <c r="I611" t="s">
        <v>40</v>
      </c>
      <c r="J611" t="s">
        <v>41</v>
      </c>
      <c r="K611" t="s">
        <v>42</v>
      </c>
      <c r="L611" s="19">
        <v>1</v>
      </c>
      <c r="M611" s="20">
        <v>1718000</v>
      </c>
      <c r="N611" s="20">
        <v>1429700</v>
      </c>
      <c r="O611" s="20">
        <f t="shared" si="29"/>
        <v>288300</v>
      </c>
      <c r="P611" t="s">
        <v>31</v>
      </c>
    </row>
    <row r="612" spans="1:16">
      <c r="A612" t="s">
        <v>692</v>
      </c>
      <c r="B612" s="18">
        <v>46103</v>
      </c>
      <c r="C612" s="19">
        <f t="shared" si="27"/>
        <v>2026</v>
      </c>
      <c r="D612" s="19" t="str">
        <f t="shared" si="28"/>
        <v>Mar</v>
      </c>
      <c r="E612" t="s">
        <v>33</v>
      </c>
      <c r="F612" t="s">
        <v>34</v>
      </c>
      <c r="G612" t="s">
        <v>34</v>
      </c>
      <c r="H612" t="s">
        <v>35</v>
      </c>
      <c r="I612" t="s">
        <v>68</v>
      </c>
      <c r="J612" t="s">
        <v>49</v>
      </c>
      <c r="K612" t="s">
        <v>58</v>
      </c>
      <c r="L612" s="19">
        <v>2</v>
      </c>
      <c r="M612" s="20">
        <v>1811000</v>
      </c>
      <c r="N612" s="20">
        <v>1463400</v>
      </c>
      <c r="O612" s="20">
        <f t="shared" si="29"/>
        <v>347600</v>
      </c>
      <c r="P612" t="s">
        <v>37</v>
      </c>
    </row>
    <row r="613" spans="1:16">
      <c r="A613" t="s">
        <v>693</v>
      </c>
      <c r="B613" s="18">
        <v>46104</v>
      </c>
      <c r="C613" s="19">
        <f t="shared" si="27"/>
        <v>2026</v>
      </c>
      <c r="D613" s="19" t="str">
        <f t="shared" si="28"/>
        <v>Mar</v>
      </c>
      <c r="E613" t="s">
        <v>44</v>
      </c>
      <c r="F613" t="s">
        <v>118</v>
      </c>
      <c r="G613" t="s">
        <v>119</v>
      </c>
      <c r="H613" t="s">
        <v>120</v>
      </c>
      <c r="I613" t="s">
        <v>71</v>
      </c>
      <c r="J613" t="s">
        <v>49</v>
      </c>
      <c r="K613" t="s">
        <v>58</v>
      </c>
      <c r="L613" s="19">
        <v>1</v>
      </c>
      <c r="M613" s="20">
        <v>989000</v>
      </c>
      <c r="N613" s="20">
        <v>793800</v>
      </c>
      <c r="O613" s="20">
        <f t="shared" si="29"/>
        <v>195200</v>
      </c>
      <c r="P613" t="s">
        <v>37</v>
      </c>
    </row>
    <row r="614" spans="1:16">
      <c r="A614" t="s">
        <v>694</v>
      </c>
      <c r="B614" s="18">
        <v>46104</v>
      </c>
      <c r="C614" s="19">
        <f t="shared" si="27"/>
        <v>2026</v>
      </c>
      <c r="D614" s="19" t="str">
        <f t="shared" si="28"/>
        <v>Mar</v>
      </c>
      <c r="E614" t="s">
        <v>33</v>
      </c>
      <c r="F614" t="s">
        <v>34</v>
      </c>
      <c r="G614" t="s">
        <v>34</v>
      </c>
      <c r="H614" t="s">
        <v>102</v>
      </c>
      <c r="I614" t="s">
        <v>56</v>
      </c>
      <c r="J614" t="s">
        <v>57</v>
      </c>
      <c r="K614" t="s">
        <v>58</v>
      </c>
      <c r="L614" s="19">
        <v>1</v>
      </c>
      <c r="M614" s="20">
        <v>1254000</v>
      </c>
      <c r="N614" s="20">
        <v>1041400</v>
      </c>
      <c r="O614" s="20">
        <f t="shared" si="29"/>
        <v>212600</v>
      </c>
      <c r="P614" t="s">
        <v>54</v>
      </c>
    </row>
    <row r="615" spans="1:16">
      <c r="A615" t="s">
        <v>695</v>
      </c>
      <c r="B615" s="18">
        <v>46104</v>
      </c>
      <c r="C615" s="19">
        <f t="shared" si="27"/>
        <v>2026</v>
      </c>
      <c r="D615" s="19" t="str">
        <f t="shared" si="28"/>
        <v>Mar</v>
      </c>
      <c r="E615" t="s">
        <v>33</v>
      </c>
      <c r="F615" t="s">
        <v>92</v>
      </c>
      <c r="G615" t="s">
        <v>93</v>
      </c>
      <c r="H615" t="s">
        <v>94</v>
      </c>
      <c r="I615" t="s">
        <v>36</v>
      </c>
      <c r="J615" t="s">
        <v>22</v>
      </c>
      <c r="K615" t="s">
        <v>23</v>
      </c>
      <c r="L615" s="19">
        <v>1</v>
      </c>
      <c r="M615" s="20">
        <v>12861000</v>
      </c>
      <c r="N615" s="20">
        <v>10889500</v>
      </c>
      <c r="O615" s="20">
        <f t="shared" si="29"/>
        <v>1971500</v>
      </c>
      <c r="P615" t="s">
        <v>31</v>
      </c>
    </row>
    <row r="616" spans="1:16">
      <c r="A616" t="s">
        <v>696</v>
      </c>
      <c r="B616" s="18">
        <v>46105</v>
      </c>
      <c r="C616" s="19">
        <f t="shared" si="27"/>
        <v>2026</v>
      </c>
      <c r="D616" s="19" t="str">
        <f t="shared" si="28"/>
        <v>Mar</v>
      </c>
      <c r="E616" t="s">
        <v>17</v>
      </c>
      <c r="F616" t="s">
        <v>18</v>
      </c>
      <c r="G616" t="s">
        <v>19</v>
      </c>
      <c r="H616" t="s">
        <v>20</v>
      </c>
      <c r="I616" t="s">
        <v>63</v>
      </c>
      <c r="J616" t="s">
        <v>41</v>
      </c>
      <c r="K616" t="s">
        <v>58</v>
      </c>
      <c r="L616" s="19">
        <v>1</v>
      </c>
      <c r="M616" s="20">
        <v>1331000</v>
      </c>
      <c r="N616" s="20">
        <v>1119500</v>
      </c>
      <c r="O616" s="20">
        <f t="shared" si="29"/>
        <v>211500</v>
      </c>
      <c r="P616" t="s">
        <v>31</v>
      </c>
    </row>
    <row r="617" spans="1:16">
      <c r="A617" t="s">
        <v>697</v>
      </c>
      <c r="B617" s="18">
        <v>46106</v>
      </c>
      <c r="C617" s="19">
        <f t="shared" si="27"/>
        <v>2026</v>
      </c>
      <c r="D617" s="19" t="str">
        <f t="shared" si="28"/>
        <v>Mar</v>
      </c>
      <c r="E617" t="s">
        <v>33</v>
      </c>
      <c r="F617" t="s">
        <v>34</v>
      </c>
      <c r="G617" t="s">
        <v>34</v>
      </c>
      <c r="H617" t="s">
        <v>102</v>
      </c>
      <c r="I617" t="s">
        <v>21</v>
      </c>
      <c r="J617" t="s">
        <v>22</v>
      </c>
      <c r="K617" t="s">
        <v>23</v>
      </c>
      <c r="L617" s="19">
        <v>1</v>
      </c>
      <c r="M617" s="20">
        <v>1812000</v>
      </c>
      <c r="N617" s="20">
        <v>1458400</v>
      </c>
      <c r="O617" s="20">
        <f t="shared" si="29"/>
        <v>353600</v>
      </c>
      <c r="P617" t="s">
        <v>31</v>
      </c>
    </row>
    <row r="618" spans="1:16">
      <c r="A618" t="s">
        <v>698</v>
      </c>
      <c r="B618" s="18">
        <v>46106</v>
      </c>
      <c r="C618" s="19">
        <f t="shared" si="27"/>
        <v>2026</v>
      </c>
      <c r="D618" s="19" t="str">
        <f t="shared" si="28"/>
        <v>Mar</v>
      </c>
      <c r="E618" t="s">
        <v>17</v>
      </c>
      <c r="F618" t="s">
        <v>18</v>
      </c>
      <c r="G618" t="s">
        <v>19</v>
      </c>
      <c r="H618" t="s">
        <v>20</v>
      </c>
      <c r="I618" t="s">
        <v>56</v>
      </c>
      <c r="J618" t="s">
        <v>57</v>
      </c>
      <c r="K618" t="s">
        <v>58</v>
      </c>
      <c r="L618" s="19">
        <v>1</v>
      </c>
      <c r="M618" s="20">
        <v>1194000</v>
      </c>
      <c r="N618" s="20">
        <v>981600</v>
      </c>
      <c r="O618" s="20">
        <f t="shared" si="29"/>
        <v>212400</v>
      </c>
      <c r="P618" t="s">
        <v>24</v>
      </c>
    </row>
    <row r="619" spans="1:16">
      <c r="A619" t="s">
        <v>699</v>
      </c>
      <c r="B619" s="18">
        <v>46107</v>
      </c>
      <c r="C619" s="19">
        <f t="shared" si="27"/>
        <v>2026</v>
      </c>
      <c r="D619" s="19" t="str">
        <f t="shared" si="28"/>
        <v>Mar</v>
      </c>
      <c r="E619" t="s">
        <v>26</v>
      </c>
      <c r="F619" t="s">
        <v>131</v>
      </c>
      <c r="G619" t="s">
        <v>132</v>
      </c>
      <c r="H619" t="s">
        <v>133</v>
      </c>
      <c r="I619" t="s">
        <v>48</v>
      </c>
      <c r="J619" t="s">
        <v>49</v>
      </c>
      <c r="K619" t="s">
        <v>42</v>
      </c>
      <c r="L619" s="19">
        <v>1</v>
      </c>
      <c r="M619" s="20">
        <v>1247000</v>
      </c>
      <c r="N619" s="20">
        <v>1065500</v>
      </c>
      <c r="O619" s="20">
        <f t="shared" si="29"/>
        <v>181500</v>
      </c>
      <c r="P619" t="s">
        <v>31</v>
      </c>
    </row>
    <row r="620" spans="1:16">
      <c r="A620" t="s">
        <v>700</v>
      </c>
      <c r="B620" s="18">
        <v>46107</v>
      </c>
      <c r="C620" s="19">
        <f t="shared" si="27"/>
        <v>2026</v>
      </c>
      <c r="D620" s="19" t="str">
        <f t="shared" si="28"/>
        <v>Mar</v>
      </c>
      <c r="E620" t="s">
        <v>33</v>
      </c>
      <c r="F620" t="s">
        <v>92</v>
      </c>
      <c r="G620" t="s">
        <v>93</v>
      </c>
      <c r="H620" t="s">
        <v>94</v>
      </c>
      <c r="I620" t="s">
        <v>21</v>
      </c>
      <c r="J620" t="s">
        <v>22</v>
      </c>
      <c r="K620" t="s">
        <v>23</v>
      </c>
      <c r="L620" s="19">
        <v>1</v>
      </c>
      <c r="M620" s="20">
        <v>1834000</v>
      </c>
      <c r="N620" s="20">
        <v>1477500</v>
      </c>
      <c r="O620" s="20">
        <f t="shared" si="29"/>
        <v>356500</v>
      </c>
      <c r="P620" t="s">
        <v>72</v>
      </c>
    </row>
    <row r="621" spans="1:16">
      <c r="A621" t="s">
        <v>701</v>
      </c>
      <c r="B621" s="18">
        <v>46108</v>
      </c>
      <c r="C621" s="19">
        <f t="shared" si="27"/>
        <v>2026</v>
      </c>
      <c r="D621" s="19" t="str">
        <f t="shared" si="28"/>
        <v>Mar</v>
      </c>
      <c r="E621" t="s">
        <v>33</v>
      </c>
      <c r="F621" t="s">
        <v>81</v>
      </c>
      <c r="G621" t="s">
        <v>82</v>
      </c>
      <c r="H621" t="s">
        <v>83</v>
      </c>
      <c r="I621" t="s">
        <v>171</v>
      </c>
      <c r="J621" t="s">
        <v>22</v>
      </c>
      <c r="K621" t="s">
        <v>42</v>
      </c>
      <c r="L621" s="19">
        <v>1</v>
      </c>
      <c r="M621" s="20">
        <v>6086000</v>
      </c>
      <c r="N621" s="20">
        <v>5279000</v>
      </c>
      <c r="O621" s="20">
        <f t="shared" si="29"/>
        <v>807000</v>
      </c>
      <c r="P621" t="s">
        <v>31</v>
      </c>
    </row>
    <row r="622" spans="1:16">
      <c r="A622" t="s">
        <v>702</v>
      </c>
      <c r="B622" s="18">
        <v>46108</v>
      </c>
      <c r="C622" s="19">
        <f t="shared" si="27"/>
        <v>2026</v>
      </c>
      <c r="D622" s="19" t="str">
        <f t="shared" si="28"/>
        <v>Mar</v>
      </c>
      <c r="E622" t="s">
        <v>17</v>
      </c>
      <c r="F622" t="s">
        <v>18</v>
      </c>
      <c r="G622" t="s">
        <v>19</v>
      </c>
      <c r="H622" t="s">
        <v>74</v>
      </c>
      <c r="I622" t="s">
        <v>68</v>
      </c>
      <c r="J622" t="s">
        <v>49</v>
      </c>
      <c r="K622" t="s">
        <v>58</v>
      </c>
      <c r="L622" s="19">
        <v>1</v>
      </c>
      <c r="M622" s="20">
        <v>929000</v>
      </c>
      <c r="N622" s="20">
        <v>817000</v>
      </c>
      <c r="O622" s="20">
        <f t="shared" si="29"/>
        <v>112000</v>
      </c>
      <c r="P622" t="s">
        <v>31</v>
      </c>
    </row>
    <row r="623" spans="1:16">
      <c r="A623" t="s">
        <v>703</v>
      </c>
      <c r="B623" s="18">
        <v>46108</v>
      </c>
      <c r="C623" s="19">
        <f t="shared" si="27"/>
        <v>2026</v>
      </c>
      <c r="D623" s="19" t="str">
        <f t="shared" si="28"/>
        <v>Mar</v>
      </c>
      <c r="E623" t="s">
        <v>26</v>
      </c>
      <c r="F623" t="s">
        <v>27</v>
      </c>
      <c r="G623" t="s">
        <v>28</v>
      </c>
      <c r="H623" t="s">
        <v>29</v>
      </c>
      <c r="I623" t="s">
        <v>48</v>
      </c>
      <c r="J623" t="s">
        <v>49</v>
      </c>
      <c r="K623" t="s">
        <v>42</v>
      </c>
      <c r="L623" s="19">
        <v>1</v>
      </c>
      <c r="M623" s="20">
        <v>1241000</v>
      </c>
      <c r="N623" s="20">
        <v>996100</v>
      </c>
      <c r="O623" s="20">
        <f t="shared" si="29"/>
        <v>244900</v>
      </c>
      <c r="P623" t="s">
        <v>24</v>
      </c>
    </row>
    <row r="624" spans="1:16">
      <c r="A624" t="s">
        <v>704</v>
      </c>
      <c r="B624" s="18">
        <v>46110</v>
      </c>
      <c r="C624" s="19">
        <f t="shared" si="27"/>
        <v>2026</v>
      </c>
      <c r="D624" s="19" t="str">
        <f t="shared" si="28"/>
        <v>Mar</v>
      </c>
      <c r="E624" t="s">
        <v>26</v>
      </c>
      <c r="F624" t="s">
        <v>27</v>
      </c>
      <c r="G624" t="s">
        <v>28</v>
      </c>
      <c r="H624" t="s">
        <v>39</v>
      </c>
      <c r="I624" t="s">
        <v>71</v>
      </c>
      <c r="J624" t="s">
        <v>49</v>
      </c>
      <c r="K624" t="s">
        <v>58</v>
      </c>
      <c r="L624" s="19">
        <v>1</v>
      </c>
      <c r="M624" s="20">
        <v>1010000</v>
      </c>
      <c r="N624" s="20">
        <v>849200</v>
      </c>
      <c r="O624" s="20">
        <f t="shared" si="29"/>
        <v>160800</v>
      </c>
      <c r="P624" t="s">
        <v>24</v>
      </c>
    </row>
    <row r="625" spans="1:16">
      <c r="A625" t="s">
        <v>705</v>
      </c>
      <c r="B625" s="18">
        <v>46110</v>
      </c>
      <c r="C625" s="19">
        <f t="shared" si="27"/>
        <v>2026</v>
      </c>
      <c r="D625" s="19" t="str">
        <f t="shared" si="28"/>
        <v>Mar</v>
      </c>
      <c r="E625" t="s">
        <v>26</v>
      </c>
      <c r="F625" t="s">
        <v>27</v>
      </c>
      <c r="G625" t="s">
        <v>28</v>
      </c>
      <c r="H625" t="s">
        <v>29</v>
      </c>
      <c r="I625" t="s">
        <v>63</v>
      </c>
      <c r="J625" t="s">
        <v>41</v>
      </c>
      <c r="K625" t="s">
        <v>58</v>
      </c>
      <c r="L625" s="19">
        <v>1</v>
      </c>
      <c r="M625" s="20">
        <v>1403000</v>
      </c>
      <c r="N625" s="20">
        <v>1124400</v>
      </c>
      <c r="O625" s="20">
        <f t="shared" si="29"/>
        <v>278600</v>
      </c>
      <c r="P625" t="s">
        <v>31</v>
      </c>
    </row>
    <row r="626" spans="1:16">
      <c r="A626" t="s">
        <v>706</v>
      </c>
      <c r="B626" s="18">
        <v>46110</v>
      </c>
      <c r="C626" s="19">
        <f t="shared" si="27"/>
        <v>2026</v>
      </c>
      <c r="D626" s="19" t="str">
        <f t="shared" si="28"/>
        <v>Mar</v>
      </c>
      <c r="E626" t="s">
        <v>26</v>
      </c>
      <c r="F626" t="s">
        <v>131</v>
      </c>
      <c r="G626" t="s">
        <v>132</v>
      </c>
      <c r="H626" t="s">
        <v>133</v>
      </c>
      <c r="I626" t="s">
        <v>84</v>
      </c>
      <c r="J626" t="s">
        <v>22</v>
      </c>
      <c r="K626" t="s">
        <v>23</v>
      </c>
      <c r="L626" s="19">
        <v>1</v>
      </c>
      <c r="M626" s="20">
        <v>6356000</v>
      </c>
      <c r="N626" s="20">
        <v>5558500</v>
      </c>
      <c r="O626" s="20">
        <f t="shared" si="29"/>
        <v>797500</v>
      </c>
      <c r="P626" t="s">
        <v>37</v>
      </c>
    </row>
    <row r="627" spans="1:16">
      <c r="A627" t="s">
        <v>707</v>
      </c>
      <c r="B627" s="18">
        <v>46111</v>
      </c>
      <c r="C627" s="19">
        <f t="shared" si="27"/>
        <v>2026</v>
      </c>
      <c r="D627" s="19" t="str">
        <f t="shared" si="28"/>
        <v>Mar</v>
      </c>
      <c r="E627" t="s">
        <v>44</v>
      </c>
      <c r="F627" t="s">
        <v>45</v>
      </c>
      <c r="G627" t="s">
        <v>46</v>
      </c>
      <c r="H627" t="s">
        <v>47</v>
      </c>
      <c r="I627" t="s">
        <v>40</v>
      </c>
      <c r="J627" t="s">
        <v>41</v>
      </c>
      <c r="K627" t="s">
        <v>42</v>
      </c>
      <c r="L627" s="19">
        <v>1</v>
      </c>
      <c r="M627" s="20">
        <v>1726000</v>
      </c>
      <c r="N627" s="20">
        <v>1511600</v>
      </c>
      <c r="O627" s="20">
        <f t="shared" si="29"/>
        <v>214400</v>
      </c>
      <c r="P627" t="s">
        <v>24</v>
      </c>
    </row>
    <row r="628" spans="1:16">
      <c r="A628" t="s">
        <v>708</v>
      </c>
      <c r="B628" s="18">
        <v>46111</v>
      </c>
      <c r="C628" s="19">
        <f t="shared" si="27"/>
        <v>2026</v>
      </c>
      <c r="D628" s="19" t="str">
        <f t="shared" si="28"/>
        <v>Mar</v>
      </c>
      <c r="E628" t="s">
        <v>17</v>
      </c>
      <c r="F628" t="s">
        <v>18</v>
      </c>
      <c r="G628" t="s">
        <v>19</v>
      </c>
      <c r="H628" t="s">
        <v>20</v>
      </c>
      <c r="I628" t="s">
        <v>171</v>
      </c>
      <c r="J628" t="s">
        <v>22</v>
      </c>
      <c r="K628" t="s">
        <v>42</v>
      </c>
      <c r="L628" s="19">
        <v>1</v>
      </c>
      <c r="M628" s="20">
        <v>6379000</v>
      </c>
      <c r="N628" s="20">
        <v>5226100</v>
      </c>
      <c r="O628" s="20">
        <f t="shared" si="29"/>
        <v>1152900</v>
      </c>
      <c r="P628" t="s">
        <v>37</v>
      </c>
    </row>
    <row r="629" spans="1:16">
      <c r="A629" t="s">
        <v>709</v>
      </c>
      <c r="B629" s="18">
        <v>46112</v>
      </c>
      <c r="C629" s="19">
        <f t="shared" si="27"/>
        <v>2026</v>
      </c>
      <c r="D629" s="19" t="str">
        <f t="shared" si="28"/>
        <v>Mar</v>
      </c>
      <c r="E629" t="s">
        <v>26</v>
      </c>
      <c r="F629" t="s">
        <v>27</v>
      </c>
      <c r="G629" t="s">
        <v>28</v>
      </c>
      <c r="H629" t="s">
        <v>29</v>
      </c>
      <c r="I629" t="s">
        <v>48</v>
      </c>
      <c r="J629" t="s">
        <v>49</v>
      </c>
      <c r="K629" t="s">
        <v>42</v>
      </c>
      <c r="L629" s="19">
        <v>1</v>
      </c>
      <c r="M629" s="20">
        <v>1248000</v>
      </c>
      <c r="N629" s="20">
        <v>1064100</v>
      </c>
      <c r="O629" s="20">
        <f t="shared" si="29"/>
        <v>183900</v>
      </c>
      <c r="P629" t="s">
        <v>37</v>
      </c>
    </row>
    <row r="630" spans="1:16">
      <c r="A630" t="s">
        <v>710</v>
      </c>
      <c r="B630" s="18">
        <v>46113</v>
      </c>
      <c r="C630" s="19">
        <f t="shared" si="27"/>
        <v>2026</v>
      </c>
      <c r="D630" s="19" t="str">
        <f t="shared" si="28"/>
        <v>Apr</v>
      </c>
      <c r="E630" t="s">
        <v>33</v>
      </c>
      <c r="F630" t="s">
        <v>92</v>
      </c>
      <c r="G630" t="s">
        <v>93</v>
      </c>
      <c r="H630" t="s">
        <v>94</v>
      </c>
      <c r="I630" t="s">
        <v>48</v>
      </c>
      <c r="J630" t="s">
        <v>49</v>
      </c>
      <c r="K630" t="s">
        <v>42</v>
      </c>
      <c r="L630" s="19">
        <v>1</v>
      </c>
      <c r="M630" s="20">
        <v>1226000</v>
      </c>
      <c r="N630" s="20">
        <v>1067600</v>
      </c>
      <c r="O630" s="20">
        <f t="shared" si="29"/>
        <v>158400</v>
      </c>
      <c r="P630" t="s">
        <v>37</v>
      </c>
    </row>
    <row r="631" spans="1:16">
      <c r="A631" t="s">
        <v>711</v>
      </c>
      <c r="B631" s="18">
        <v>46114</v>
      </c>
      <c r="C631" s="19">
        <f t="shared" si="27"/>
        <v>2026</v>
      </c>
      <c r="D631" s="19" t="str">
        <f t="shared" si="28"/>
        <v>Apr</v>
      </c>
      <c r="E631" t="s">
        <v>44</v>
      </c>
      <c r="F631" t="s">
        <v>45</v>
      </c>
      <c r="G631" t="s">
        <v>46</v>
      </c>
      <c r="H631" t="s">
        <v>47</v>
      </c>
      <c r="I631" t="s">
        <v>48</v>
      </c>
      <c r="J631" t="s">
        <v>49</v>
      </c>
      <c r="K631" t="s">
        <v>42</v>
      </c>
      <c r="L631" s="19">
        <v>1</v>
      </c>
      <c r="M631" s="20">
        <v>1247000</v>
      </c>
      <c r="N631" s="20">
        <v>1096800</v>
      </c>
      <c r="O631" s="20">
        <f t="shared" si="29"/>
        <v>150200</v>
      </c>
      <c r="P631" t="s">
        <v>24</v>
      </c>
    </row>
    <row r="632" spans="1:16">
      <c r="A632" t="s">
        <v>712</v>
      </c>
      <c r="B632" s="18">
        <v>46114</v>
      </c>
      <c r="C632" s="19">
        <f t="shared" si="27"/>
        <v>2026</v>
      </c>
      <c r="D632" s="19" t="str">
        <f t="shared" si="28"/>
        <v>Apr</v>
      </c>
      <c r="E632" t="s">
        <v>33</v>
      </c>
      <c r="F632" t="s">
        <v>34</v>
      </c>
      <c r="G632" t="s">
        <v>34</v>
      </c>
      <c r="H632" t="s">
        <v>35</v>
      </c>
      <c r="I632" t="s">
        <v>121</v>
      </c>
      <c r="J632" t="s">
        <v>57</v>
      </c>
      <c r="K632" t="s">
        <v>42</v>
      </c>
      <c r="L632" s="19">
        <v>1</v>
      </c>
      <c r="M632" s="20">
        <v>1566000</v>
      </c>
      <c r="N632" s="20">
        <v>1299600</v>
      </c>
      <c r="O632" s="20">
        <f t="shared" si="29"/>
        <v>266400</v>
      </c>
      <c r="P632" t="s">
        <v>72</v>
      </c>
    </row>
    <row r="633" spans="1:16">
      <c r="A633" t="s">
        <v>713</v>
      </c>
      <c r="B633" s="18">
        <v>46114</v>
      </c>
      <c r="C633" s="19">
        <f t="shared" si="27"/>
        <v>2026</v>
      </c>
      <c r="D633" s="19" t="str">
        <f t="shared" si="28"/>
        <v>Apr</v>
      </c>
      <c r="E633" t="s">
        <v>26</v>
      </c>
      <c r="F633" t="s">
        <v>27</v>
      </c>
      <c r="G633" t="s">
        <v>28</v>
      </c>
      <c r="H633" t="s">
        <v>29</v>
      </c>
      <c r="I633" t="s">
        <v>63</v>
      </c>
      <c r="J633" t="s">
        <v>41</v>
      </c>
      <c r="K633" t="s">
        <v>58</v>
      </c>
      <c r="L633" s="19">
        <v>1</v>
      </c>
      <c r="M633" s="20">
        <v>1386000</v>
      </c>
      <c r="N633" s="20">
        <v>1149200</v>
      </c>
      <c r="O633" s="20">
        <f t="shared" si="29"/>
        <v>236800</v>
      </c>
      <c r="P633" t="s">
        <v>72</v>
      </c>
    </row>
    <row r="634" spans="1:16">
      <c r="A634" t="s">
        <v>714</v>
      </c>
      <c r="B634" s="18">
        <v>46115</v>
      </c>
      <c r="C634" s="19">
        <f t="shared" si="27"/>
        <v>2026</v>
      </c>
      <c r="D634" s="19" t="str">
        <f t="shared" si="28"/>
        <v>Apr</v>
      </c>
      <c r="E634" t="s">
        <v>26</v>
      </c>
      <c r="F634" t="s">
        <v>27</v>
      </c>
      <c r="G634" t="s">
        <v>28</v>
      </c>
      <c r="H634" t="s">
        <v>39</v>
      </c>
      <c r="I634" t="s">
        <v>63</v>
      </c>
      <c r="J634" t="s">
        <v>41</v>
      </c>
      <c r="K634" t="s">
        <v>58</v>
      </c>
      <c r="L634" s="19">
        <v>1</v>
      </c>
      <c r="M634" s="20">
        <v>1377000</v>
      </c>
      <c r="N634" s="20">
        <v>1208400</v>
      </c>
      <c r="O634" s="20">
        <f t="shared" si="29"/>
        <v>168600</v>
      </c>
      <c r="P634" t="s">
        <v>72</v>
      </c>
    </row>
    <row r="635" spans="1:16">
      <c r="A635" t="s">
        <v>715</v>
      </c>
      <c r="B635" s="18">
        <v>46116</v>
      </c>
      <c r="C635" s="19">
        <f t="shared" si="27"/>
        <v>2026</v>
      </c>
      <c r="D635" s="19" t="str">
        <f t="shared" si="28"/>
        <v>Apr</v>
      </c>
      <c r="E635" t="s">
        <v>17</v>
      </c>
      <c r="F635" t="s">
        <v>18</v>
      </c>
      <c r="G635" t="s">
        <v>19</v>
      </c>
      <c r="H635" t="s">
        <v>74</v>
      </c>
      <c r="I635" t="s">
        <v>68</v>
      </c>
      <c r="J635" t="s">
        <v>49</v>
      </c>
      <c r="K635" t="s">
        <v>58</v>
      </c>
      <c r="L635" s="19">
        <v>1</v>
      </c>
      <c r="M635" s="20">
        <v>948000</v>
      </c>
      <c r="N635" s="20">
        <v>776600</v>
      </c>
      <c r="O635" s="20">
        <f t="shared" si="29"/>
        <v>171400</v>
      </c>
      <c r="P635" t="s">
        <v>31</v>
      </c>
    </row>
    <row r="636" spans="1:16">
      <c r="A636" t="s">
        <v>716</v>
      </c>
      <c r="B636" s="18">
        <v>46116</v>
      </c>
      <c r="C636" s="19">
        <f t="shared" si="27"/>
        <v>2026</v>
      </c>
      <c r="D636" s="19" t="str">
        <f t="shared" si="28"/>
        <v>Apr</v>
      </c>
      <c r="E636" t="s">
        <v>26</v>
      </c>
      <c r="F636" t="s">
        <v>131</v>
      </c>
      <c r="G636" t="s">
        <v>132</v>
      </c>
      <c r="H636" t="s">
        <v>133</v>
      </c>
      <c r="I636" t="s">
        <v>68</v>
      </c>
      <c r="J636" t="s">
        <v>49</v>
      </c>
      <c r="K636" t="s">
        <v>58</v>
      </c>
      <c r="L636" s="19">
        <v>1</v>
      </c>
      <c r="M636" s="20">
        <v>954000</v>
      </c>
      <c r="N636" s="20">
        <v>764900</v>
      </c>
      <c r="O636" s="20">
        <f t="shared" si="29"/>
        <v>189100</v>
      </c>
      <c r="P636" t="s">
        <v>72</v>
      </c>
    </row>
    <row r="637" spans="1:16">
      <c r="A637" t="s">
        <v>717</v>
      </c>
      <c r="B637" s="18">
        <v>46116</v>
      </c>
      <c r="C637" s="19">
        <f t="shared" si="27"/>
        <v>2026</v>
      </c>
      <c r="D637" s="19" t="str">
        <f t="shared" si="28"/>
        <v>Apr</v>
      </c>
      <c r="E637" t="s">
        <v>17</v>
      </c>
      <c r="F637" t="s">
        <v>18</v>
      </c>
      <c r="G637" t="s">
        <v>60</v>
      </c>
      <c r="H637" t="s">
        <v>61</v>
      </c>
      <c r="I637" t="s">
        <v>48</v>
      </c>
      <c r="J637" t="s">
        <v>49</v>
      </c>
      <c r="K637" t="s">
        <v>42</v>
      </c>
      <c r="L637" s="19">
        <v>1</v>
      </c>
      <c r="M637" s="20">
        <v>1216000</v>
      </c>
      <c r="N637" s="20">
        <v>1032000</v>
      </c>
      <c r="O637" s="20">
        <f t="shared" si="29"/>
        <v>184000</v>
      </c>
      <c r="P637" t="s">
        <v>31</v>
      </c>
    </row>
    <row r="638" spans="1:16">
      <c r="A638" t="s">
        <v>718</v>
      </c>
      <c r="B638" s="18">
        <v>46118</v>
      </c>
      <c r="C638" s="19">
        <f t="shared" si="27"/>
        <v>2026</v>
      </c>
      <c r="D638" s="19" t="str">
        <f t="shared" si="28"/>
        <v>Apr</v>
      </c>
      <c r="E638" t="s">
        <v>26</v>
      </c>
      <c r="F638" t="s">
        <v>27</v>
      </c>
      <c r="G638" t="s">
        <v>28</v>
      </c>
      <c r="H638" t="s">
        <v>39</v>
      </c>
      <c r="I638" t="s">
        <v>36</v>
      </c>
      <c r="J638" t="s">
        <v>22</v>
      </c>
      <c r="K638" t="s">
        <v>23</v>
      </c>
      <c r="L638" s="19">
        <v>1</v>
      </c>
      <c r="M638" s="20">
        <v>12972000</v>
      </c>
      <c r="N638" s="20">
        <v>10674900</v>
      </c>
      <c r="O638" s="20">
        <f t="shared" si="29"/>
        <v>2297100</v>
      </c>
      <c r="P638" t="s">
        <v>24</v>
      </c>
    </row>
    <row r="639" spans="1:16">
      <c r="A639" t="s">
        <v>719</v>
      </c>
      <c r="B639" s="18">
        <v>46119</v>
      </c>
      <c r="C639" s="19">
        <f t="shared" si="27"/>
        <v>2026</v>
      </c>
      <c r="D639" s="19" t="str">
        <f t="shared" si="28"/>
        <v>Apr</v>
      </c>
      <c r="E639" t="s">
        <v>17</v>
      </c>
      <c r="F639" t="s">
        <v>51</v>
      </c>
      <c r="G639" t="s">
        <v>98</v>
      </c>
      <c r="H639" t="s">
        <v>99</v>
      </c>
      <c r="I639" t="s">
        <v>63</v>
      </c>
      <c r="J639" t="s">
        <v>41</v>
      </c>
      <c r="K639" t="s">
        <v>58</v>
      </c>
      <c r="L639" s="19">
        <v>1</v>
      </c>
      <c r="M639" s="20">
        <v>1304000</v>
      </c>
      <c r="N639" s="20">
        <v>1143800</v>
      </c>
      <c r="O639" s="20">
        <f t="shared" si="29"/>
        <v>160200</v>
      </c>
      <c r="P639" t="s">
        <v>31</v>
      </c>
    </row>
    <row r="640" spans="1:16">
      <c r="A640" t="s">
        <v>720</v>
      </c>
      <c r="B640" s="18">
        <v>46119</v>
      </c>
      <c r="C640" s="19">
        <f t="shared" si="27"/>
        <v>2026</v>
      </c>
      <c r="D640" s="19" t="str">
        <f t="shared" si="28"/>
        <v>Apr</v>
      </c>
      <c r="E640" t="s">
        <v>44</v>
      </c>
      <c r="F640" t="s">
        <v>118</v>
      </c>
      <c r="G640" t="s">
        <v>119</v>
      </c>
      <c r="H640" t="s">
        <v>120</v>
      </c>
      <c r="I640" t="s">
        <v>68</v>
      </c>
      <c r="J640" t="s">
        <v>49</v>
      </c>
      <c r="K640" t="s">
        <v>58</v>
      </c>
      <c r="L640" s="19">
        <v>1</v>
      </c>
      <c r="M640" s="20">
        <v>930000</v>
      </c>
      <c r="N640" s="20">
        <v>752000</v>
      </c>
      <c r="O640" s="20">
        <f t="shared" si="29"/>
        <v>178000</v>
      </c>
      <c r="P640" t="s">
        <v>72</v>
      </c>
    </row>
    <row r="641" spans="1:16">
      <c r="A641" t="s">
        <v>721</v>
      </c>
      <c r="B641" s="18">
        <v>46120</v>
      </c>
      <c r="C641" s="19">
        <f t="shared" si="27"/>
        <v>2026</v>
      </c>
      <c r="D641" s="19" t="str">
        <f t="shared" si="28"/>
        <v>Apr</v>
      </c>
      <c r="E641" t="s">
        <v>17</v>
      </c>
      <c r="F641" t="s">
        <v>18</v>
      </c>
      <c r="G641" t="s">
        <v>19</v>
      </c>
      <c r="H641" t="s">
        <v>20</v>
      </c>
      <c r="I641" t="s">
        <v>63</v>
      </c>
      <c r="J641" t="s">
        <v>41</v>
      </c>
      <c r="K641" t="s">
        <v>58</v>
      </c>
      <c r="L641" s="19">
        <v>1</v>
      </c>
      <c r="M641" s="20">
        <v>1376000</v>
      </c>
      <c r="N641" s="20">
        <v>1149300</v>
      </c>
      <c r="O641" s="20">
        <f t="shared" si="29"/>
        <v>226700</v>
      </c>
      <c r="P641" t="s">
        <v>31</v>
      </c>
    </row>
    <row r="642" spans="1:16">
      <c r="A642" t="s">
        <v>722</v>
      </c>
      <c r="B642" s="18">
        <v>46121</v>
      </c>
      <c r="C642" s="19">
        <f t="shared" ref="C642:C705" si="30">YEAR(B642)</f>
        <v>2026</v>
      </c>
      <c r="D642" s="19" t="str">
        <f t="shared" ref="D642:D705" si="31">CHOOSE(MONTH(B642),"Jan","Feb","Mar","Apr","May","Jun","Jul","Aug","Sep","Oct","Nov","Dec")</f>
        <v>Apr</v>
      </c>
      <c r="E642" t="s">
        <v>17</v>
      </c>
      <c r="F642" t="s">
        <v>51</v>
      </c>
      <c r="G642" t="s">
        <v>52</v>
      </c>
      <c r="H642" t="s">
        <v>70</v>
      </c>
      <c r="I642" t="s">
        <v>68</v>
      </c>
      <c r="J642" t="s">
        <v>49</v>
      </c>
      <c r="K642" t="s">
        <v>58</v>
      </c>
      <c r="L642" s="19">
        <v>1</v>
      </c>
      <c r="M642" s="20">
        <v>946000</v>
      </c>
      <c r="N642" s="20">
        <v>775400</v>
      </c>
      <c r="O642" s="20">
        <f t="shared" ref="O642:O705" si="32">M642-N642</f>
        <v>170600</v>
      </c>
      <c r="P642" t="s">
        <v>54</v>
      </c>
    </row>
    <row r="643" spans="1:16">
      <c r="A643" t="s">
        <v>723</v>
      </c>
      <c r="B643" s="18">
        <v>46121</v>
      </c>
      <c r="C643" s="19">
        <f t="shared" si="30"/>
        <v>2026</v>
      </c>
      <c r="D643" s="19" t="str">
        <f t="shared" si="31"/>
        <v>Apr</v>
      </c>
      <c r="E643" t="s">
        <v>33</v>
      </c>
      <c r="F643" t="s">
        <v>34</v>
      </c>
      <c r="G643" t="s">
        <v>34</v>
      </c>
      <c r="H643" t="s">
        <v>35</v>
      </c>
      <c r="I643" t="s">
        <v>68</v>
      </c>
      <c r="J643" t="s">
        <v>49</v>
      </c>
      <c r="K643" t="s">
        <v>58</v>
      </c>
      <c r="L643" s="19">
        <v>1</v>
      </c>
      <c r="M643" s="20">
        <v>892000</v>
      </c>
      <c r="N643" s="20">
        <v>764800</v>
      </c>
      <c r="O643" s="20">
        <f t="shared" si="32"/>
        <v>127200</v>
      </c>
      <c r="P643" t="s">
        <v>54</v>
      </c>
    </row>
    <row r="644" spans="1:16">
      <c r="A644" t="s">
        <v>724</v>
      </c>
      <c r="B644" s="18">
        <v>46122</v>
      </c>
      <c r="C644" s="19">
        <f t="shared" si="30"/>
        <v>2026</v>
      </c>
      <c r="D644" s="19" t="str">
        <f t="shared" si="31"/>
        <v>Apr</v>
      </c>
      <c r="E644" t="s">
        <v>26</v>
      </c>
      <c r="F644" t="s">
        <v>27</v>
      </c>
      <c r="G644" t="s">
        <v>28</v>
      </c>
      <c r="H644" t="s">
        <v>39</v>
      </c>
      <c r="I644" t="s">
        <v>56</v>
      </c>
      <c r="J644" t="s">
        <v>57</v>
      </c>
      <c r="K644" t="s">
        <v>58</v>
      </c>
      <c r="L644" s="19">
        <v>1</v>
      </c>
      <c r="M644" s="20">
        <v>1235000</v>
      </c>
      <c r="N644" s="20">
        <v>1039600</v>
      </c>
      <c r="O644" s="20">
        <f t="shared" si="32"/>
        <v>195400</v>
      </c>
      <c r="P644" t="s">
        <v>78</v>
      </c>
    </row>
    <row r="645" spans="1:16">
      <c r="A645" t="s">
        <v>725</v>
      </c>
      <c r="B645" s="18">
        <v>46123</v>
      </c>
      <c r="C645" s="19">
        <f t="shared" si="30"/>
        <v>2026</v>
      </c>
      <c r="D645" s="19" t="str">
        <f t="shared" si="31"/>
        <v>Apr</v>
      </c>
      <c r="E645" t="s">
        <v>17</v>
      </c>
      <c r="F645" t="s">
        <v>18</v>
      </c>
      <c r="G645" t="s">
        <v>19</v>
      </c>
      <c r="H645" t="s">
        <v>20</v>
      </c>
      <c r="I645" t="s">
        <v>68</v>
      </c>
      <c r="J645" t="s">
        <v>49</v>
      </c>
      <c r="K645" t="s">
        <v>58</v>
      </c>
      <c r="L645" s="19">
        <v>1</v>
      </c>
      <c r="M645" s="20">
        <v>931000</v>
      </c>
      <c r="N645" s="20">
        <v>755400</v>
      </c>
      <c r="O645" s="20">
        <f t="shared" si="32"/>
        <v>175600</v>
      </c>
      <c r="P645" t="s">
        <v>31</v>
      </c>
    </row>
    <row r="646" spans="1:16">
      <c r="A646" t="s">
        <v>726</v>
      </c>
      <c r="B646" s="18">
        <v>46123</v>
      </c>
      <c r="C646" s="19">
        <f t="shared" si="30"/>
        <v>2026</v>
      </c>
      <c r="D646" s="19" t="str">
        <f t="shared" si="31"/>
        <v>Apr</v>
      </c>
      <c r="E646" t="s">
        <v>17</v>
      </c>
      <c r="F646" t="s">
        <v>18</v>
      </c>
      <c r="G646" t="s">
        <v>19</v>
      </c>
      <c r="H646" t="s">
        <v>74</v>
      </c>
      <c r="I646" t="s">
        <v>71</v>
      </c>
      <c r="J646" t="s">
        <v>49</v>
      </c>
      <c r="K646" t="s">
        <v>58</v>
      </c>
      <c r="L646" s="19">
        <v>1</v>
      </c>
      <c r="M646" s="20">
        <v>992000</v>
      </c>
      <c r="N646" s="20">
        <v>844800</v>
      </c>
      <c r="O646" s="20">
        <f t="shared" si="32"/>
        <v>147200</v>
      </c>
      <c r="P646" t="s">
        <v>54</v>
      </c>
    </row>
    <row r="647" spans="1:16">
      <c r="A647" t="s">
        <v>727</v>
      </c>
      <c r="B647" s="18">
        <v>46124</v>
      </c>
      <c r="C647" s="19">
        <f t="shared" si="30"/>
        <v>2026</v>
      </c>
      <c r="D647" s="19" t="str">
        <f t="shared" si="31"/>
        <v>Apr</v>
      </c>
      <c r="E647" t="s">
        <v>17</v>
      </c>
      <c r="F647" t="s">
        <v>18</v>
      </c>
      <c r="G647" t="s">
        <v>19</v>
      </c>
      <c r="H647" t="s">
        <v>74</v>
      </c>
      <c r="I647" t="s">
        <v>68</v>
      </c>
      <c r="J647" t="s">
        <v>49</v>
      </c>
      <c r="K647" t="s">
        <v>58</v>
      </c>
      <c r="L647" s="19">
        <v>1</v>
      </c>
      <c r="M647" s="20">
        <v>892000</v>
      </c>
      <c r="N647" s="20">
        <v>751200</v>
      </c>
      <c r="O647" s="20">
        <f t="shared" si="32"/>
        <v>140800</v>
      </c>
      <c r="P647" t="s">
        <v>54</v>
      </c>
    </row>
    <row r="648" spans="1:16">
      <c r="A648" t="s">
        <v>728</v>
      </c>
      <c r="B648" s="18">
        <v>46124</v>
      </c>
      <c r="C648" s="19">
        <f t="shared" si="30"/>
        <v>2026</v>
      </c>
      <c r="D648" s="19" t="str">
        <f t="shared" si="31"/>
        <v>Apr</v>
      </c>
      <c r="E648" t="s">
        <v>33</v>
      </c>
      <c r="F648" t="s">
        <v>34</v>
      </c>
      <c r="G648" t="s">
        <v>34</v>
      </c>
      <c r="H648" t="s">
        <v>102</v>
      </c>
      <c r="I648" t="s">
        <v>48</v>
      </c>
      <c r="J648" t="s">
        <v>49</v>
      </c>
      <c r="K648" t="s">
        <v>42</v>
      </c>
      <c r="L648" s="19">
        <v>1</v>
      </c>
      <c r="M648" s="20">
        <v>1273000</v>
      </c>
      <c r="N648" s="20">
        <v>1100900</v>
      </c>
      <c r="O648" s="20">
        <f t="shared" si="32"/>
        <v>172100</v>
      </c>
      <c r="P648" t="s">
        <v>24</v>
      </c>
    </row>
    <row r="649" spans="1:16">
      <c r="A649" t="s">
        <v>729</v>
      </c>
      <c r="B649" s="18">
        <v>46125</v>
      </c>
      <c r="C649" s="19">
        <f t="shared" si="30"/>
        <v>2026</v>
      </c>
      <c r="D649" s="19" t="str">
        <f t="shared" si="31"/>
        <v>Apr</v>
      </c>
      <c r="E649" t="s">
        <v>17</v>
      </c>
      <c r="F649" t="s">
        <v>18</v>
      </c>
      <c r="G649" t="s">
        <v>60</v>
      </c>
      <c r="H649" t="s">
        <v>61</v>
      </c>
      <c r="I649" t="s">
        <v>121</v>
      </c>
      <c r="J649" t="s">
        <v>57</v>
      </c>
      <c r="K649" t="s">
        <v>42</v>
      </c>
      <c r="L649" s="19">
        <v>1</v>
      </c>
      <c r="M649" s="20">
        <v>1606000</v>
      </c>
      <c r="N649" s="20">
        <v>1296300</v>
      </c>
      <c r="O649" s="20">
        <f t="shared" si="32"/>
        <v>309700</v>
      </c>
      <c r="P649" t="s">
        <v>72</v>
      </c>
    </row>
    <row r="650" spans="1:16">
      <c r="A650" t="s">
        <v>730</v>
      </c>
      <c r="B650" s="18">
        <v>46125</v>
      </c>
      <c r="C650" s="19">
        <f t="shared" si="30"/>
        <v>2026</v>
      </c>
      <c r="D650" s="19" t="str">
        <f t="shared" si="31"/>
        <v>Apr</v>
      </c>
      <c r="E650" t="s">
        <v>26</v>
      </c>
      <c r="F650" t="s">
        <v>65</v>
      </c>
      <c r="G650" t="s">
        <v>66</v>
      </c>
      <c r="H650" t="s">
        <v>67</v>
      </c>
      <c r="I650" t="s">
        <v>71</v>
      </c>
      <c r="J650" t="s">
        <v>49</v>
      </c>
      <c r="K650" t="s">
        <v>58</v>
      </c>
      <c r="L650" s="19">
        <v>1</v>
      </c>
      <c r="M650" s="20">
        <v>1041000</v>
      </c>
      <c r="N650" s="20">
        <v>871800</v>
      </c>
      <c r="O650" s="20">
        <f t="shared" si="32"/>
        <v>169200</v>
      </c>
      <c r="P650" t="s">
        <v>72</v>
      </c>
    </row>
    <row r="651" spans="1:16">
      <c r="A651" t="s">
        <v>731</v>
      </c>
      <c r="B651" s="18">
        <v>46126</v>
      </c>
      <c r="C651" s="19">
        <f t="shared" si="30"/>
        <v>2026</v>
      </c>
      <c r="D651" s="19" t="str">
        <f t="shared" si="31"/>
        <v>Apr</v>
      </c>
      <c r="E651" t="s">
        <v>33</v>
      </c>
      <c r="F651" t="s">
        <v>81</v>
      </c>
      <c r="G651" t="s">
        <v>82</v>
      </c>
      <c r="H651" t="s">
        <v>83</v>
      </c>
      <c r="I651" t="s">
        <v>68</v>
      </c>
      <c r="J651" t="s">
        <v>49</v>
      </c>
      <c r="K651" t="s">
        <v>58</v>
      </c>
      <c r="L651" s="19">
        <v>1</v>
      </c>
      <c r="M651" s="20">
        <v>885000</v>
      </c>
      <c r="N651" s="20">
        <v>771600</v>
      </c>
      <c r="O651" s="20">
        <f t="shared" si="32"/>
        <v>113400</v>
      </c>
      <c r="P651" t="s">
        <v>31</v>
      </c>
    </row>
    <row r="652" spans="1:16">
      <c r="A652" t="s">
        <v>732</v>
      </c>
      <c r="B652" s="18">
        <v>46126</v>
      </c>
      <c r="C652" s="19">
        <f t="shared" si="30"/>
        <v>2026</v>
      </c>
      <c r="D652" s="19" t="str">
        <f t="shared" si="31"/>
        <v>Apr</v>
      </c>
      <c r="E652" t="s">
        <v>17</v>
      </c>
      <c r="F652" t="s">
        <v>51</v>
      </c>
      <c r="G652" t="s">
        <v>52</v>
      </c>
      <c r="H652" t="s">
        <v>53</v>
      </c>
      <c r="I652" t="s">
        <v>63</v>
      </c>
      <c r="J652" t="s">
        <v>41</v>
      </c>
      <c r="K652" t="s">
        <v>58</v>
      </c>
      <c r="L652" s="19">
        <v>1</v>
      </c>
      <c r="M652" s="20">
        <v>1309000</v>
      </c>
      <c r="N652" s="20">
        <v>1120900</v>
      </c>
      <c r="O652" s="20">
        <f t="shared" si="32"/>
        <v>188100</v>
      </c>
      <c r="P652" t="s">
        <v>24</v>
      </c>
    </row>
    <row r="653" spans="1:16">
      <c r="A653" t="s">
        <v>733</v>
      </c>
      <c r="B653" s="18">
        <v>46126</v>
      </c>
      <c r="C653" s="19">
        <f t="shared" si="30"/>
        <v>2026</v>
      </c>
      <c r="D653" s="19" t="str">
        <f t="shared" si="31"/>
        <v>Apr</v>
      </c>
      <c r="E653" t="s">
        <v>33</v>
      </c>
      <c r="F653" t="s">
        <v>34</v>
      </c>
      <c r="G653" t="s">
        <v>34</v>
      </c>
      <c r="H653" t="s">
        <v>35</v>
      </c>
      <c r="I653" t="s">
        <v>121</v>
      </c>
      <c r="J653" t="s">
        <v>57</v>
      </c>
      <c r="K653" t="s">
        <v>42</v>
      </c>
      <c r="L653" s="19">
        <v>1</v>
      </c>
      <c r="M653" s="20">
        <v>1639000</v>
      </c>
      <c r="N653" s="20">
        <v>1334900</v>
      </c>
      <c r="O653" s="20">
        <f t="shared" si="32"/>
        <v>304100</v>
      </c>
      <c r="P653" t="s">
        <v>31</v>
      </c>
    </row>
    <row r="654" spans="1:16">
      <c r="A654" t="s">
        <v>734</v>
      </c>
      <c r="B654" s="18">
        <v>46127</v>
      </c>
      <c r="C654" s="19">
        <f t="shared" si="30"/>
        <v>2026</v>
      </c>
      <c r="D654" s="19" t="str">
        <f t="shared" si="31"/>
        <v>Apr</v>
      </c>
      <c r="E654" t="s">
        <v>26</v>
      </c>
      <c r="F654" t="s">
        <v>27</v>
      </c>
      <c r="G654" t="s">
        <v>28</v>
      </c>
      <c r="H654" t="s">
        <v>39</v>
      </c>
      <c r="I654" t="s">
        <v>68</v>
      </c>
      <c r="J654" t="s">
        <v>49</v>
      </c>
      <c r="K654" t="s">
        <v>58</v>
      </c>
      <c r="L654" s="19">
        <v>1</v>
      </c>
      <c r="M654" s="20">
        <v>923000</v>
      </c>
      <c r="N654" s="20">
        <v>787400</v>
      </c>
      <c r="O654" s="20">
        <f t="shared" si="32"/>
        <v>135600</v>
      </c>
      <c r="P654" t="s">
        <v>31</v>
      </c>
    </row>
    <row r="655" spans="1:16">
      <c r="A655" t="s">
        <v>735</v>
      </c>
      <c r="B655" s="18">
        <v>46127</v>
      </c>
      <c r="C655" s="19">
        <f t="shared" si="30"/>
        <v>2026</v>
      </c>
      <c r="D655" s="19" t="str">
        <f t="shared" si="31"/>
        <v>Apr</v>
      </c>
      <c r="E655" t="s">
        <v>33</v>
      </c>
      <c r="F655" t="s">
        <v>34</v>
      </c>
      <c r="G655" t="s">
        <v>34</v>
      </c>
      <c r="H655" t="s">
        <v>35</v>
      </c>
      <c r="I655" t="s">
        <v>40</v>
      </c>
      <c r="J655" t="s">
        <v>41</v>
      </c>
      <c r="K655" t="s">
        <v>42</v>
      </c>
      <c r="L655" s="19">
        <v>1</v>
      </c>
      <c r="M655" s="20">
        <v>1653000</v>
      </c>
      <c r="N655" s="20">
        <v>1430300</v>
      </c>
      <c r="O655" s="20">
        <f t="shared" si="32"/>
        <v>222700</v>
      </c>
      <c r="P655" t="s">
        <v>31</v>
      </c>
    </row>
    <row r="656" spans="1:16">
      <c r="A656" t="s">
        <v>736</v>
      </c>
      <c r="B656" s="18">
        <v>46128</v>
      </c>
      <c r="C656" s="19">
        <f t="shared" si="30"/>
        <v>2026</v>
      </c>
      <c r="D656" s="19" t="str">
        <f t="shared" si="31"/>
        <v>Apr</v>
      </c>
      <c r="E656" t="s">
        <v>26</v>
      </c>
      <c r="F656" t="s">
        <v>65</v>
      </c>
      <c r="G656" t="s">
        <v>66</v>
      </c>
      <c r="H656" t="s">
        <v>67</v>
      </c>
      <c r="I656" t="s">
        <v>48</v>
      </c>
      <c r="J656" t="s">
        <v>49</v>
      </c>
      <c r="K656" t="s">
        <v>42</v>
      </c>
      <c r="L656" s="19">
        <v>1</v>
      </c>
      <c r="M656" s="20">
        <v>1276000</v>
      </c>
      <c r="N656" s="20">
        <v>1024100</v>
      </c>
      <c r="O656" s="20">
        <f t="shared" si="32"/>
        <v>251900</v>
      </c>
      <c r="P656" t="s">
        <v>24</v>
      </c>
    </row>
    <row r="657" spans="1:16">
      <c r="A657" t="s">
        <v>737</v>
      </c>
      <c r="B657" s="18">
        <v>46128</v>
      </c>
      <c r="C657" s="19">
        <f t="shared" si="30"/>
        <v>2026</v>
      </c>
      <c r="D657" s="19" t="str">
        <f t="shared" si="31"/>
        <v>Apr</v>
      </c>
      <c r="E657" t="s">
        <v>17</v>
      </c>
      <c r="F657" t="s">
        <v>51</v>
      </c>
      <c r="G657" t="s">
        <v>52</v>
      </c>
      <c r="H657" t="s">
        <v>70</v>
      </c>
      <c r="I657" t="s">
        <v>71</v>
      </c>
      <c r="J657" t="s">
        <v>49</v>
      </c>
      <c r="K657" t="s">
        <v>58</v>
      </c>
      <c r="L657" s="19">
        <v>1</v>
      </c>
      <c r="M657" s="20">
        <v>971000</v>
      </c>
      <c r="N657" s="20">
        <v>784100</v>
      </c>
      <c r="O657" s="20">
        <f t="shared" si="32"/>
        <v>186900</v>
      </c>
      <c r="P657" t="s">
        <v>78</v>
      </c>
    </row>
    <row r="658" spans="1:16">
      <c r="A658" t="s">
        <v>738</v>
      </c>
      <c r="B658" s="18">
        <v>46129</v>
      </c>
      <c r="C658" s="19">
        <f t="shared" si="30"/>
        <v>2026</v>
      </c>
      <c r="D658" s="19" t="str">
        <f t="shared" si="31"/>
        <v>Apr</v>
      </c>
      <c r="E658" t="s">
        <v>33</v>
      </c>
      <c r="F658" t="s">
        <v>34</v>
      </c>
      <c r="G658" t="s">
        <v>34</v>
      </c>
      <c r="H658" t="s">
        <v>35</v>
      </c>
      <c r="I658" t="s">
        <v>71</v>
      </c>
      <c r="J658" t="s">
        <v>49</v>
      </c>
      <c r="K658" t="s">
        <v>58</v>
      </c>
      <c r="L658" s="19">
        <v>1</v>
      </c>
      <c r="M658" s="20">
        <v>1030000</v>
      </c>
      <c r="N658" s="20">
        <v>835100</v>
      </c>
      <c r="O658" s="20">
        <f t="shared" si="32"/>
        <v>194900</v>
      </c>
      <c r="P658" t="s">
        <v>78</v>
      </c>
    </row>
    <row r="659" spans="1:16">
      <c r="A659" t="s">
        <v>739</v>
      </c>
      <c r="B659" s="18">
        <v>46129</v>
      </c>
      <c r="C659" s="19">
        <f t="shared" si="30"/>
        <v>2026</v>
      </c>
      <c r="D659" s="19" t="str">
        <f t="shared" si="31"/>
        <v>Apr</v>
      </c>
      <c r="E659" t="s">
        <v>33</v>
      </c>
      <c r="F659" t="s">
        <v>34</v>
      </c>
      <c r="G659" t="s">
        <v>34</v>
      </c>
      <c r="H659" t="s">
        <v>102</v>
      </c>
      <c r="I659" t="s">
        <v>40</v>
      </c>
      <c r="J659" t="s">
        <v>41</v>
      </c>
      <c r="K659" t="s">
        <v>42</v>
      </c>
      <c r="L659" s="19">
        <v>1</v>
      </c>
      <c r="M659" s="20">
        <v>1776000</v>
      </c>
      <c r="N659" s="20">
        <v>1428500</v>
      </c>
      <c r="O659" s="20">
        <f t="shared" si="32"/>
        <v>347500</v>
      </c>
      <c r="P659" t="s">
        <v>31</v>
      </c>
    </row>
    <row r="660" spans="1:16">
      <c r="A660" t="s">
        <v>740</v>
      </c>
      <c r="B660" s="18">
        <v>46130</v>
      </c>
      <c r="C660" s="19">
        <f t="shared" si="30"/>
        <v>2026</v>
      </c>
      <c r="D660" s="19" t="str">
        <f t="shared" si="31"/>
        <v>Apr</v>
      </c>
      <c r="E660" t="s">
        <v>17</v>
      </c>
      <c r="F660" t="s">
        <v>51</v>
      </c>
      <c r="G660" t="s">
        <v>52</v>
      </c>
      <c r="H660" t="s">
        <v>53</v>
      </c>
      <c r="I660" t="s">
        <v>30</v>
      </c>
      <c r="J660" t="s">
        <v>22</v>
      </c>
      <c r="K660" t="s">
        <v>23</v>
      </c>
      <c r="L660" s="19">
        <v>2</v>
      </c>
      <c r="M660" s="20">
        <v>3684000</v>
      </c>
      <c r="N660" s="20">
        <v>2997500</v>
      </c>
      <c r="O660" s="20">
        <f t="shared" si="32"/>
        <v>686500</v>
      </c>
      <c r="P660" t="s">
        <v>31</v>
      </c>
    </row>
    <row r="661" spans="1:16">
      <c r="A661" t="s">
        <v>741</v>
      </c>
      <c r="B661" s="18">
        <v>46130</v>
      </c>
      <c r="C661" s="19">
        <f t="shared" si="30"/>
        <v>2026</v>
      </c>
      <c r="D661" s="19" t="str">
        <f t="shared" si="31"/>
        <v>Apr</v>
      </c>
      <c r="E661" t="s">
        <v>26</v>
      </c>
      <c r="F661" t="s">
        <v>27</v>
      </c>
      <c r="G661" t="s">
        <v>28</v>
      </c>
      <c r="H661" t="s">
        <v>29</v>
      </c>
      <c r="I661" t="s">
        <v>68</v>
      </c>
      <c r="J661" t="s">
        <v>49</v>
      </c>
      <c r="K661" t="s">
        <v>58</v>
      </c>
      <c r="L661" s="19">
        <v>1</v>
      </c>
      <c r="M661" s="20">
        <v>906000</v>
      </c>
      <c r="N661" s="20">
        <v>757200</v>
      </c>
      <c r="O661" s="20">
        <f t="shared" si="32"/>
        <v>148800</v>
      </c>
      <c r="P661" t="s">
        <v>24</v>
      </c>
    </row>
    <row r="662" spans="1:16">
      <c r="A662" t="s">
        <v>742</v>
      </c>
      <c r="B662" s="18">
        <v>46130</v>
      </c>
      <c r="C662" s="19">
        <f t="shared" si="30"/>
        <v>2026</v>
      </c>
      <c r="D662" s="19" t="str">
        <f t="shared" si="31"/>
        <v>Apr</v>
      </c>
      <c r="E662" t="s">
        <v>17</v>
      </c>
      <c r="F662" t="s">
        <v>51</v>
      </c>
      <c r="G662" t="s">
        <v>98</v>
      </c>
      <c r="H662" t="s">
        <v>99</v>
      </c>
      <c r="I662" t="s">
        <v>71</v>
      </c>
      <c r="J662" t="s">
        <v>49</v>
      </c>
      <c r="K662" t="s">
        <v>58</v>
      </c>
      <c r="L662" s="19">
        <v>1</v>
      </c>
      <c r="M662" s="20">
        <v>991000</v>
      </c>
      <c r="N662" s="20">
        <v>828600</v>
      </c>
      <c r="O662" s="20">
        <f t="shared" si="32"/>
        <v>162400</v>
      </c>
      <c r="P662" t="s">
        <v>54</v>
      </c>
    </row>
    <row r="663" spans="1:16">
      <c r="A663" t="s">
        <v>743</v>
      </c>
      <c r="B663" s="18">
        <v>46131</v>
      </c>
      <c r="C663" s="19">
        <f t="shared" si="30"/>
        <v>2026</v>
      </c>
      <c r="D663" s="19" t="str">
        <f t="shared" si="31"/>
        <v>Apr</v>
      </c>
      <c r="E663" t="s">
        <v>44</v>
      </c>
      <c r="F663" t="s">
        <v>45</v>
      </c>
      <c r="G663" t="s">
        <v>46</v>
      </c>
      <c r="H663" t="s">
        <v>47</v>
      </c>
      <c r="I663" t="s">
        <v>121</v>
      </c>
      <c r="J663" t="s">
        <v>57</v>
      </c>
      <c r="K663" t="s">
        <v>42</v>
      </c>
      <c r="L663" s="19">
        <v>1</v>
      </c>
      <c r="M663" s="20">
        <v>1575000</v>
      </c>
      <c r="N663" s="20">
        <v>1262100</v>
      </c>
      <c r="O663" s="20">
        <f t="shared" si="32"/>
        <v>312900</v>
      </c>
      <c r="P663" t="s">
        <v>24</v>
      </c>
    </row>
    <row r="664" spans="1:16">
      <c r="A664" t="s">
        <v>744</v>
      </c>
      <c r="B664" s="18">
        <v>46134</v>
      </c>
      <c r="C664" s="19">
        <f t="shared" si="30"/>
        <v>2026</v>
      </c>
      <c r="D664" s="19" t="str">
        <f t="shared" si="31"/>
        <v>Apr</v>
      </c>
      <c r="E664" t="s">
        <v>17</v>
      </c>
      <c r="F664" t="s">
        <v>18</v>
      </c>
      <c r="G664" t="s">
        <v>19</v>
      </c>
      <c r="H664" t="s">
        <v>20</v>
      </c>
      <c r="I664" t="s">
        <v>121</v>
      </c>
      <c r="J664" t="s">
        <v>57</v>
      </c>
      <c r="K664" t="s">
        <v>42</v>
      </c>
      <c r="L664" s="19">
        <v>1</v>
      </c>
      <c r="M664" s="20">
        <v>1541000</v>
      </c>
      <c r="N664" s="20">
        <v>1329400</v>
      </c>
      <c r="O664" s="20">
        <f t="shared" si="32"/>
        <v>211600</v>
      </c>
      <c r="P664" t="s">
        <v>24</v>
      </c>
    </row>
    <row r="665" spans="1:16">
      <c r="A665" t="s">
        <v>745</v>
      </c>
      <c r="B665" s="18">
        <v>46134</v>
      </c>
      <c r="C665" s="19">
        <f t="shared" si="30"/>
        <v>2026</v>
      </c>
      <c r="D665" s="19" t="str">
        <f t="shared" si="31"/>
        <v>Apr</v>
      </c>
      <c r="E665" t="s">
        <v>26</v>
      </c>
      <c r="F665" t="s">
        <v>65</v>
      </c>
      <c r="G665" t="s">
        <v>66</v>
      </c>
      <c r="H665" t="s">
        <v>67</v>
      </c>
      <c r="I665" t="s">
        <v>56</v>
      </c>
      <c r="J665" t="s">
        <v>57</v>
      </c>
      <c r="K665" t="s">
        <v>58</v>
      </c>
      <c r="L665" s="19">
        <v>1</v>
      </c>
      <c r="M665" s="20">
        <v>1180000</v>
      </c>
      <c r="N665" s="20">
        <v>1002700</v>
      </c>
      <c r="O665" s="20">
        <f t="shared" si="32"/>
        <v>177300</v>
      </c>
      <c r="P665" t="s">
        <v>37</v>
      </c>
    </row>
    <row r="666" spans="1:16">
      <c r="A666" t="s">
        <v>746</v>
      </c>
      <c r="B666" s="18">
        <v>46135</v>
      </c>
      <c r="C666" s="19">
        <f t="shared" si="30"/>
        <v>2026</v>
      </c>
      <c r="D666" s="19" t="str">
        <f t="shared" si="31"/>
        <v>Apr</v>
      </c>
      <c r="E666" t="s">
        <v>17</v>
      </c>
      <c r="F666" t="s">
        <v>51</v>
      </c>
      <c r="G666" t="s">
        <v>52</v>
      </c>
      <c r="H666" t="s">
        <v>53</v>
      </c>
      <c r="I666" t="s">
        <v>56</v>
      </c>
      <c r="J666" t="s">
        <v>57</v>
      </c>
      <c r="K666" t="s">
        <v>58</v>
      </c>
      <c r="L666" s="19">
        <v>1</v>
      </c>
      <c r="M666" s="20">
        <v>1260000</v>
      </c>
      <c r="N666" s="20">
        <v>1039700</v>
      </c>
      <c r="O666" s="20">
        <f t="shared" si="32"/>
        <v>220300</v>
      </c>
      <c r="P666" t="s">
        <v>24</v>
      </c>
    </row>
    <row r="667" spans="1:16">
      <c r="A667" t="s">
        <v>747</v>
      </c>
      <c r="B667" s="18">
        <v>46135</v>
      </c>
      <c r="C667" s="19">
        <f t="shared" si="30"/>
        <v>2026</v>
      </c>
      <c r="D667" s="19" t="str">
        <f t="shared" si="31"/>
        <v>Apr</v>
      </c>
      <c r="E667" t="s">
        <v>17</v>
      </c>
      <c r="F667" t="s">
        <v>18</v>
      </c>
      <c r="G667" t="s">
        <v>19</v>
      </c>
      <c r="H667" t="s">
        <v>20</v>
      </c>
      <c r="I667" t="s">
        <v>71</v>
      </c>
      <c r="J667" t="s">
        <v>49</v>
      </c>
      <c r="K667" t="s">
        <v>58</v>
      </c>
      <c r="L667" s="19">
        <v>1</v>
      </c>
      <c r="M667" s="20">
        <v>1012000</v>
      </c>
      <c r="N667" s="20">
        <v>867800</v>
      </c>
      <c r="O667" s="20">
        <f t="shared" si="32"/>
        <v>144200</v>
      </c>
      <c r="P667" t="s">
        <v>31</v>
      </c>
    </row>
    <row r="668" spans="1:16">
      <c r="A668" t="s">
        <v>748</v>
      </c>
      <c r="B668" s="18">
        <v>46135</v>
      </c>
      <c r="C668" s="19">
        <f t="shared" si="30"/>
        <v>2026</v>
      </c>
      <c r="D668" s="19" t="str">
        <f t="shared" si="31"/>
        <v>Apr</v>
      </c>
      <c r="E668" t="s">
        <v>17</v>
      </c>
      <c r="F668" t="s">
        <v>18</v>
      </c>
      <c r="G668" t="s">
        <v>60</v>
      </c>
      <c r="H668" t="s">
        <v>61</v>
      </c>
      <c r="I668" t="s">
        <v>121</v>
      </c>
      <c r="J668" t="s">
        <v>57</v>
      </c>
      <c r="K668" t="s">
        <v>42</v>
      </c>
      <c r="L668" s="19">
        <v>1</v>
      </c>
      <c r="M668" s="20">
        <v>1643000</v>
      </c>
      <c r="N668" s="20">
        <v>1332200</v>
      </c>
      <c r="O668" s="20">
        <f t="shared" si="32"/>
        <v>310800</v>
      </c>
      <c r="P668" t="s">
        <v>37</v>
      </c>
    </row>
    <row r="669" spans="1:16">
      <c r="A669" t="s">
        <v>749</v>
      </c>
      <c r="B669" s="18">
        <v>46136</v>
      </c>
      <c r="C669" s="19">
        <f t="shared" si="30"/>
        <v>2026</v>
      </c>
      <c r="D669" s="19" t="str">
        <f t="shared" si="31"/>
        <v>Apr</v>
      </c>
      <c r="E669" t="s">
        <v>33</v>
      </c>
      <c r="F669" t="s">
        <v>34</v>
      </c>
      <c r="G669" t="s">
        <v>34</v>
      </c>
      <c r="H669" t="s">
        <v>35</v>
      </c>
      <c r="I669" t="s">
        <v>40</v>
      </c>
      <c r="J669" t="s">
        <v>41</v>
      </c>
      <c r="K669" t="s">
        <v>42</v>
      </c>
      <c r="L669" s="19">
        <v>1</v>
      </c>
      <c r="M669" s="20">
        <v>1724000</v>
      </c>
      <c r="N669" s="20">
        <v>1489300</v>
      </c>
      <c r="O669" s="20">
        <f t="shared" si="32"/>
        <v>234700</v>
      </c>
      <c r="P669" t="s">
        <v>24</v>
      </c>
    </row>
    <row r="670" spans="1:16">
      <c r="A670" t="s">
        <v>750</v>
      </c>
      <c r="B670" s="18">
        <v>46137</v>
      </c>
      <c r="C670" s="19">
        <f t="shared" si="30"/>
        <v>2026</v>
      </c>
      <c r="D670" s="19" t="str">
        <f t="shared" si="31"/>
        <v>Apr</v>
      </c>
      <c r="E670" t="s">
        <v>17</v>
      </c>
      <c r="F670" t="s">
        <v>51</v>
      </c>
      <c r="G670" t="s">
        <v>52</v>
      </c>
      <c r="H670" t="s">
        <v>70</v>
      </c>
      <c r="I670" t="s">
        <v>63</v>
      </c>
      <c r="J670" t="s">
        <v>41</v>
      </c>
      <c r="K670" t="s">
        <v>58</v>
      </c>
      <c r="L670" s="19">
        <v>1</v>
      </c>
      <c r="M670" s="20">
        <v>1320000</v>
      </c>
      <c r="N670" s="20">
        <v>1110000</v>
      </c>
      <c r="O670" s="20">
        <f t="shared" si="32"/>
        <v>210000</v>
      </c>
      <c r="P670" t="s">
        <v>31</v>
      </c>
    </row>
    <row r="671" spans="1:16">
      <c r="A671" t="s">
        <v>751</v>
      </c>
      <c r="B671" s="18">
        <v>46137</v>
      </c>
      <c r="C671" s="19">
        <f t="shared" si="30"/>
        <v>2026</v>
      </c>
      <c r="D671" s="19" t="str">
        <f t="shared" si="31"/>
        <v>Apr</v>
      </c>
      <c r="E671" t="s">
        <v>17</v>
      </c>
      <c r="F671" t="s">
        <v>18</v>
      </c>
      <c r="G671" t="s">
        <v>19</v>
      </c>
      <c r="H671" t="s">
        <v>74</v>
      </c>
      <c r="I671" t="s">
        <v>121</v>
      </c>
      <c r="J671" t="s">
        <v>57</v>
      </c>
      <c r="K671" t="s">
        <v>42</v>
      </c>
      <c r="L671" s="19">
        <v>1</v>
      </c>
      <c r="M671" s="20">
        <v>1634000</v>
      </c>
      <c r="N671" s="20">
        <v>1326800</v>
      </c>
      <c r="O671" s="20">
        <f t="shared" si="32"/>
        <v>307200</v>
      </c>
      <c r="P671" t="s">
        <v>37</v>
      </c>
    </row>
    <row r="672" spans="1:16">
      <c r="A672" t="s">
        <v>752</v>
      </c>
      <c r="B672" s="18">
        <v>46137</v>
      </c>
      <c r="C672" s="19">
        <f t="shared" si="30"/>
        <v>2026</v>
      </c>
      <c r="D672" s="19" t="str">
        <f t="shared" si="31"/>
        <v>Apr</v>
      </c>
      <c r="E672" t="s">
        <v>26</v>
      </c>
      <c r="F672" t="s">
        <v>27</v>
      </c>
      <c r="G672" t="s">
        <v>28</v>
      </c>
      <c r="H672" t="s">
        <v>29</v>
      </c>
      <c r="I672" t="s">
        <v>121</v>
      </c>
      <c r="J672" t="s">
        <v>57</v>
      </c>
      <c r="K672" t="s">
        <v>42</v>
      </c>
      <c r="L672" s="19">
        <v>1</v>
      </c>
      <c r="M672" s="20">
        <v>1547000</v>
      </c>
      <c r="N672" s="20">
        <v>1280300</v>
      </c>
      <c r="O672" s="20">
        <f t="shared" si="32"/>
        <v>266700</v>
      </c>
      <c r="P672" t="s">
        <v>72</v>
      </c>
    </row>
    <row r="673" spans="1:16">
      <c r="A673" t="s">
        <v>753</v>
      </c>
      <c r="B673" s="18">
        <v>46137</v>
      </c>
      <c r="C673" s="19">
        <f t="shared" si="30"/>
        <v>2026</v>
      </c>
      <c r="D673" s="19" t="str">
        <f t="shared" si="31"/>
        <v>Apr</v>
      </c>
      <c r="E673" t="s">
        <v>26</v>
      </c>
      <c r="F673" t="s">
        <v>27</v>
      </c>
      <c r="G673" t="s">
        <v>28</v>
      </c>
      <c r="H673" t="s">
        <v>29</v>
      </c>
      <c r="I673" t="s">
        <v>63</v>
      </c>
      <c r="J673" t="s">
        <v>41</v>
      </c>
      <c r="K673" t="s">
        <v>58</v>
      </c>
      <c r="L673" s="19">
        <v>1</v>
      </c>
      <c r="M673" s="20">
        <v>1324000</v>
      </c>
      <c r="N673" s="20">
        <v>1113200</v>
      </c>
      <c r="O673" s="20">
        <f t="shared" si="32"/>
        <v>210800</v>
      </c>
      <c r="P673" t="s">
        <v>31</v>
      </c>
    </row>
    <row r="674" spans="1:16">
      <c r="A674" t="s">
        <v>754</v>
      </c>
      <c r="B674" s="18">
        <v>46138</v>
      </c>
      <c r="C674" s="19">
        <f t="shared" si="30"/>
        <v>2026</v>
      </c>
      <c r="D674" s="19" t="str">
        <f t="shared" si="31"/>
        <v>Apr</v>
      </c>
      <c r="E674" t="s">
        <v>33</v>
      </c>
      <c r="F674" t="s">
        <v>34</v>
      </c>
      <c r="G674" t="s">
        <v>34</v>
      </c>
      <c r="H674" t="s">
        <v>35</v>
      </c>
      <c r="I674" t="s">
        <v>48</v>
      </c>
      <c r="J674" t="s">
        <v>49</v>
      </c>
      <c r="K674" t="s">
        <v>42</v>
      </c>
      <c r="L674" s="19">
        <v>1</v>
      </c>
      <c r="M674" s="20">
        <v>1269000</v>
      </c>
      <c r="N674" s="20">
        <v>1044500</v>
      </c>
      <c r="O674" s="20">
        <f t="shared" si="32"/>
        <v>224500</v>
      </c>
      <c r="P674" t="s">
        <v>24</v>
      </c>
    </row>
    <row r="675" spans="1:16">
      <c r="A675" t="s">
        <v>755</v>
      </c>
      <c r="B675" s="18">
        <v>46138</v>
      </c>
      <c r="C675" s="19">
        <f t="shared" si="30"/>
        <v>2026</v>
      </c>
      <c r="D675" s="19" t="str">
        <f t="shared" si="31"/>
        <v>Apr</v>
      </c>
      <c r="E675" t="s">
        <v>26</v>
      </c>
      <c r="F675" t="s">
        <v>27</v>
      </c>
      <c r="G675" t="s">
        <v>28</v>
      </c>
      <c r="H675" t="s">
        <v>29</v>
      </c>
      <c r="I675" t="s">
        <v>30</v>
      </c>
      <c r="J675" t="s">
        <v>22</v>
      </c>
      <c r="K675" t="s">
        <v>23</v>
      </c>
      <c r="L675" s="19">
        <v>1</v>
      </c>
      <c r="M675" s="20">
        <v>1741000</v>
      </c>
      <c r="N675" s="20">
        <v>1490600</v>
      </c>
      <c r="O675" s="20">
        <f t="shared" si="32"/>
        <v>250400</v>
      </c>
      <c r="P675" t="s">
        <v>78</v>
      </c>
    </row>
    <row r="676" spans="1:16">
      <c r="A676" t="s">
        <v>756</v>
      </c>
      <c r="B676" s="18">
        <v>46138</v>
      </c>
      <c r="C676" s="19">
        <f t="shared" si="30"/>
        <v>2026</v>
      </c>
      <c r="D676" s="19" t="str">
        <f t="shared" si="31"/>
        <v>Apr</v>
      </c>
      <c r="E676" t="s">
        <v>33</v>
      </c>
      <c r="F676" t="s">
        <v>81</v>
      </c>
      <c r="G676" t="s">
        <v>82</v>
      </c>
      <c r="H676" t="s">
        <v>83</v>
      </c>
      <c r="I676" t="s">
        <v>63</v>
      </c>
      <c r="J676" t="s">
        <v>41</v>
      </c>
      <c r="K676" t="s">
        <v>58</v>
      </c>
      <c r="L676" s="19">
        <v>1</v>
      </c>
      <c r="M676" s="20">
        <v>1365000</v>
      </c>
      <c r="N676" s="20">
        <v>1147400</v>
      </c>
      <c r="O676" s="20">
        <f t="shared" si="32"/>
        <v>217600</v>
      </c>
      <c r="P676" t="s">
        <v>78</v>
      </c>
    </row>
    <row r="677" spans="1:16">
      <c r="A677" t="s">
        <v>757</v>
      </c>
      <c r="B677" s="18">
        <v>46139</v>
      </c>
      <c r="C677" s="19">
        <f t="shared" si="30"/>
        <v>2026</v>
      </c>
      <c r="D677" s="19" t="str">
        <f t="shared" si="31"/>
        <v>Apr</v>
      </c>
      <c r="E677" t="s">
        <v>26</v>
      </c>
      <c r="F677" t="s">
        <v>27</v>
      </c>
      <c r="G677" t="s">
        <v>28</v>
      </c>
      <c r="H677" t="s">
        <v>29</v>
      </c>
      <c r="I677" t="s">
        <v>21</v>
      </c>
      <c r="J677" t="s">
        <v>22</v>
      </c>
      <c r="K677" t="s">
        <v>23</v>
      </c>
      <c r="L677" s="19">
        <v>1</v>
      </c>
      <c r="M677" s="20">
        <v>1822000</v>
      </c>
      <c r="N677" s="20">
        <v>1587800</v>
      </c>
      <c r="O677" s="20">
        <f t="shared" si="32"/>
        <v>234200</v>
      </c>
      <c r="P677" t="s">
        <v>31</v>
      </c>
    </row>
    <row r="678" spans="1:16">
      <c r="A678" t="s">
        <v>758</v>
      </c>
      <c r="B678" s="18">
        <v>46139</v>
      </c>
      <c r="C678" s="19">
        <f t="shared" si="30"/>
        <v>2026</v>
      </c>
      <c r="D678" s="19" t="str">
        <f t="shared" si="31"/>
        <v>Apr</v>
      </c>
      <c r="E678" t="s">
        <v>17</v>
      </c>
      <c r="F678" t="s">
        <v>18</v>
      </c>
      <c r="G678" t="s">
        <v>60</v>
      </c>
      <c r="H678" t="s">
        <v>61</v>
      </c>
      <c r="I678" t="s">
        <v>30</v>
      </c>
      <c r="J678" t="s">
        <v>22</v>
      </c>
      <c r="K678" t="s">
        <v>23</v>
      </c>
      <c r="L678" s="19">
        <v>1</v>
      </c>
      <c r="M678" s="20">
        <v>1774000</v>
      </c>
      <c r="N678" s="20">
        <v>1497000</v>
      </c>
      <c r="O678" s="20">
        <f t="shared" si="32"/>
        <v>277000</v>
      </c>
      <c r="P678" t="s">
        <v>54</v>
      </c>
    </row>
    <row r="679" spans="1:16">
      <c r="A679" t="s">
        <v>759</v>
      </c>
      <c r="B679" s="18">
        <v>46139</v>
      </c>
      <c r="C679" s="19">
        <f t="shared" si="30"/>
        <v>2026</v>
      </c>
      <c r="D679" s="19" t="str">
        <f t="shared" si="31"/>
        <v>Apr</v>
      </c>
      <c r="E679" t="s">
        <v>44</v>
      </c>
      <c r="F679" t="s">
        <v>45</v>
      </c>
      <c r="G679" t="s">
        <v>46</v>
      </c>
      <c r="H679" t="s">
        <v>47</v>
      </c>
      <c r="I679" t="s">
        <v>40</v>
      </c>
      <c r="J679" t="s">
        <v>41</v>
      </c>
      <c r="K679" t="s">
        <v>42</v>
      </c>
      <c r="L679" s="19">
        <v>1</v>
      </c>
      <c r="M679" s="20">
        <v>1767000</v>
      </c>
      <c r="N679" s="20">
        <v>1427900</v>
      </c>
      <c r="O679" s="20">
        <f t="shared" si="32"/>
        <v>339100</v>
      </c>
      <c r="P679" t="s">
        <v>24</v>
      </c>
    </row>
    <row r="680" spans="1:16">
      <c r="A680" t="s">
        <v>760</v>
      </c>
      <c r="B680" s="18">
        <v>46142</v>
      </c>
      <c r="C680" s="19">
        <f t="shared" si="30"/>
        <v>2026</v>
      </c>
      <c r="D680" s="19" t="str">
        <f t="shared" si="31"/>
        <v>Apr</v>
      </c>
      <c r="E680" t="s">
        <v>26</v>
      </c>
      <c r="F680" t="s">
        <v>27</v>
      </c>
      <c r="G680" t="s">
        <v>28</v>
      </c>
      <c r="H680" t="s">
        <v>39</v>
      </c>
      <c r="I680" t="s">
        <v>63</v>
      </c>
      <c r="J680" t="s">
        <v>41</v>
      </c>
      <c r="K680" t="s">
        <v>58</v>
      </c>
      <c r="L680" s="19">
        <v>1</v>
      </c>
      <c r="M680" s="20">
        <v>1378000</v>
      </c>
      <c r="N680" s="20">
        <v>1108800</v>
      </c>
      <c r="O680" s="20">
        <f t="shared" si="32"/>
        <v>269200</v>
      </c>
      <c r="P680" t="s">
        <v>37</v>
      </c>
    </row>
    <row r="681" spans="1:16">
      <c r="A681" t="s">
        <v>761</v>
      </c>
      <c r="B681" s="18">
        <v>46142</v>
      </c>
      <c r="C681" s="19">
        <f t="shared" si="30"/>
        <v>2026</v>
      </c>
      <c r="D681" s="19" t="str">
        <f t="shared" si="31"/>
        <v>Apr</v>
      </c>
      <c r="E681" t="s">
        <v>17</v>
      </c>
      <c r="F681" t="s">
        <v>51</v>
      </c>
      <c r="G681" t="s">
        <v>52</v>
      </c>
      <c r="H681" t="s">
        <v>70</v>
      </c>
      <c r="I681" t="s">
        <v>48</v>
      </c>
      <c r="J681" t="s">
        <v>49</v>
      </c>
      <c r="K681" t="s">
        <v>42</v>
      </c>
      <c r="L681" s="19">
        <v>1</v>
      </c>
      <c r="M681" s="20">
        <v>1278000</v>
      </c>
      <c r="N681" s="20">
        <v>1061800</v>
      </c>
      <c r="O681" s="20">
        <f t="shared" si="32"/>
        <v>216200</v>
      </c>
      <c r="P681" t="s">
        <v>72</v>
      </c>
    </row>
    <row r="682" spans="1:16">
      <c r="A682" t="s">
        <v>762</v>
      </c>
      <c r="B682" s="18">
        <v>46143</v>
      </c>
      <c r="C682" s="19">
        <f t="shared" si="30"/>
        <v>2026</v>
      </c>
      <c r="D682" s="19" t="str">
        <f t="shared" si="31"/>
        <v>May</v>
      </c>
      <c r="E682" t="s">
        <v>17</v>
      </c>
      <c r="F682" t="s">
        <v>18</v>
      </c>
      <c r="G682" t="s">
        <v>19</v>
      </c>
      <c r="H682" t="s">
        <v>20</v>
      </c>
      <c r="I682" t="s">
        <v>63</v>
      </c>
      <c r="J682" t="s">
        <v>41</v>
      </c>
      <c r="K682" t="s">
        <v>58</v>
      </c>
      <c r="L682" s="19">
        <v>1</v>
      </c>
      <c r="M682" s="20">
        <v>1395000</v>
      </c>
      <c r="N682" s="20">
        <v>1162200</v>
      </c>
      <c r="O682" s="20">
        <f t="shared" si="32"/>
        <v>232800</v>
      </c>
      <c r="P682" t="s">
        <v>72</v>
      </c>
    </row>
    <row r="683" spans="1:16">
      <c r="A683" t="s">
        <v>763</v>
      </c>
      <c r="B683" s="18">
        <v>46143</v>
      </c>
      <c r="C683" s="19">
        <f t="shared" si="30"/>
        <v>2026</v>
      </c>
      <c r="D683" s="19" t="str">
        <f t="shared" si="31"/>
        <v>May</v>
      </c>
      <c r="E683" t="s">
        <v>33</v>
      </c>
      <c r="F683" t="s">
        <v>34</v>
      </c>
      <c r="G683" t="s">
        <v>34</v>
      </c>
      <c r="H683" t="s">
        <v>35</v>
      </c>
      <c r="I683" t="s">
        <v>68</v>
      </c>
      <c r="J683" t="s">
        <v>49</v>
      </c>
      <c r="K683" t="s">
        <v>58</v>
      </c>
      <c r="L683" s="19">
        <v>1</v>
      </c>
      <c r="M683" s="20">
        <v>905000</v>
      </c>
      <c r="N683" s="20">
        <v>743300</v>
      </c>
      <c r="O683" s="20">
        <f t="shared" si="32"/>
        <v>161700</v>
      </c>
      <c r="P683" t="s">
        <v>24</v>
      </c>
    </row>
    <row r="684" spans="1:16">
      <c r="A684" t="s">
        <v>764</v>
      </c>
      <c r="B684" s="18">
        <v>46143</v>
      </c>
      <c r="C684" s="19">
        <f t="shared" si="30"/>
        <v>2026</v>
      </c>
      <c r="D684" s="19" t="str">
        <f t="shared" si="31"/>
        <v>May</v>
      </c>
      <c r="E684" t="s">
        <v>17</v>
      </c>
      <c r="F684" t="s">
        <v>51</v>
      </c>
      <c r="G684" t="s">
        <v>52</v>
      </c>
      <c r="H684" t="s">
        <v>53</v>
      </c>
      <c r="I684" t="s">
        <v>40</v>
      </c>
      <c r="J684" t="s">
        <v>41</v>
      </c>
      <c r="K684" t="s">
        <v>42</v>
      </c>
      <c r="L684" s="19">
        <v>1</v>
      </c>
      <c r="M684" s="20">
        <v>1722000</v>
      </c>
      <c r="N684" s="20">
        <v>1410100</v>
      </c>
      <c r="O684" s="20">
        <f t="shared" si="32"/>
        <v>311900</v>
      </c>
      <c r="P684" t="s">
        <v>31</v>
      </c>
    </row>
    <row r="685" spans="1:16">
      <c r="A685" t="s">
        <v>765</v>
      </c>
      <c r="B685" s="18">
        <v>46145</v>
      </c>
      <c r="C685" s="19">
        <f t="shared" si="30"/>
        <v>2026</v>
      </c>
      <c r="D685" s="19" t="str">
        <f t="shared" si="31"/>
        <v>May</v>
      </c>
      <c r="E685" t="s">
        <v>33</v>
      </c>
      <c r="F685" t="s">
        <v>34</v>
      </c>
      <c r="G685" t="s">
        <v>34</v>
      </c>
      <c r="H685" t="s">
        <v>35</v>
      </c>
      <c r="I685" t="s">
        <v>48</v>
      </c>
      <c r="J685" t="s">
        <v>49</v>
      </c>
      <c r="K685" t="s">
        <v>42</v>
      </c>
      <c r="L685" s="19">
        <v>1</v>
      </c>
      <c r="M685" s="20">
        <v>1246000</v>
      </c>
      <c r="N685" s="20">
        <v>1042700</v>
      </c>
      <c r="O685" s="20">
        <f t="shared" si="32"/>
        <v>203300</v>
      </c>
      <c r="P685" t="s">
        <v>31</v>
      </c>
    </row>
    <row r="686" spans="1:16">
      <c r="A686" t="s">
        <v>766</v>
      </c>
      <c r="B686" s="18">
        <v>46146</v>
      </c>
      <c r="C686" s="19">
        <f t="shared" si="30"/>
        <v>2026</v>
      </c>
      <c r="D686" s="19" t="str">
        <f t="shared" si="31"/>
        <v>May</v>
      </c>
      <c r="E686" t="s">
        <v>33</v>
      </c>
      <c r="F686" t="s">
        <v>34</v>
      </c>
      <c r="G686" t="s">
        <v>34</v>
      </c>
      <c r="H686" t="s">
        <v>35</v>
      </c>
      <c r="I686" t="s">
        <v>48</v>
      </c>
      <c r="J686" t="s">
        <v>49</v>
      </c>
      <c r="K686" t="s">
        <v>42</v>
      </c>
      <c r="L686" s="19">
        <v>1</v>
      </c>
      <c r="M686" s="20">
        <v>1216000</v>
      </c>
      <c r="N686" s="20">
        <v>1026900</v>
      </c>
      <c r="O686" s="20">
        <f t="shared" si="32"/>
        <v>189100</v>
      </c>
      <c r="P686" t="s">
        <v>37</v>
      </c>
    </row>
    <row r="687" spans="1:16">
      <c r="A687" t="s">
        <v>767</v>
      </c>
      <c r="B687" s="18">
        <v>46147</v>
      </c>
      <c r="C687" s="19">
        <f t="shared" si="30"/>
        <v>2026</v>
      </c>
      <c r="D687" s="19" t="str">
        <f t="shared" si="31"/>
        <v>May</v>
      </c>
      <c r="E687" t="s">
        <v>17</v>
      </c>
      <c r="F687" t="s">
        <v>51</v>
      </c>
      <c r="G687" t="s">
        <v>52</v>
      </c>
      <c r="H687" t="s">
        <v>70</v>
      </c>
      <c r="I687" t="s">
        <v>71</v>
      </c>
      <c r="J687" t="s">
        <v>49</v>
      </c>
      <c r="K687" t="s">
        <v>58</v>
      </c>
      <c r="L687" s="19">
        <v>1</v>
      </c>
      <c r="M687" s="20">
        <v>970000</v>
      </c>
      <c r="N687" s="20">
        <v>812900</v>
      </c>
      <c r="O687" s="20">
        <f t="shared" si="32"/>
        <v>157100</v>
      </c>
      <c r="P687" t="s">
        <v>31</v>
      </c>
    </row>
    <row r="688" spans="1:16">
      <c r="A688" t="s">
        <v>768</v>
      </c>
      <c r="B688" s="18">
        <v>46148</v>
      </c>
      <c r="C688" s="19">
        <f t="shared" si="30"/>
        <v>2026</v>
      </c>
      <c r="D688" s="19" t="str">
        <f t="shared" si="31"/>
        <v>May</v>
      </c>
      <c r="E688" t="s">
        <v>44</v>
      </c>
      <c r="F688" t="s">
        <v>45</v>
      </c>
      <c r="G688" t="s">
        <v>46</v>
      </c>
      <c r="H688" t="s">
        <v>47</v>
      </c>
      <c r="I688" t="s">
        <v>121</v>
      </c>
      <c r="J688" t="s">
        <v>57</v>
      </c>
      <c r="K688" t="s">
        <v>42</v>
      </c>
      <c r="L688" s="19">
        <v>1</v>
      </c>
      <c r="M688" s="20">
        <v>1621000</v>
      </c>
      <c r="N688" s="20">
        <v>1424700</v>
      </c>
      <c r="O688" s="20">
        <f t="shared" si="32"/>
        <v>196300</v>
      </c>
      <c r="P688" t="s">
        <v>24</v>
      </c>
    </row>
    <row r="689" spans="1:16">
      <c r="A689" t="s">
        <v>769</v>
      </c>
      <c r="B689" s="18">
        <v>46151</v>
      </c>
      <c r="C689" s="19">
        <f t="shared" si="30"/>
        <v>2026</v>
      </c>
      <c r="D689" s="19" t="str">
        <f t="shared" si="31"/>
        <v>May</v>
      </c>
      <c r="E689" t="s">
        <v>17</v>
      </c>
      <c r="F689" t="s">
        <v>51</v>
      </c>
      <c r="G689" t="s">
        <v>52</v>
      </c>
      <c r="H689" t="s">
        <v>70</v>
      </c>
      <c r="I689" t="s">
        <v>30</v>
      </c>
      <c r="J689" t="s">
        <v>22</v>
      </c>
      <c r="K689" t="s">
        <v>23</v>
      </c>
      <c r="L689" s="19">
        <v>1</v>
      </c>
      <c r="M689" s="20">
        <v>1755000</v>
      </c>
      <c r="N689" s="20">
        <v>1490600</v>
      </c>
      <c r="O689" s="20">
        <f t="shared" si="32"/>
        <v>264400</v>
      </c>
      <c r="P689" t="s">
        <v>54</v>
      </c>
    </row>
    <row r="690" spans="1:16">
      <c r="A690" t="s">
        <v>770</v>
      </c>
      <c r="B690" s="18">
        <v>46156</v>
      </c>
      <c r="C690" s="19">
        <f t="shared" si="30"/>
        <v>2026</v>
      </c>
      <c r="D690" s="19" t="str">
        <f t="shared" si="31"/>
        <v>May</v>
      </c>
      <c r="E690" t="s">
        <v>33</v>
      </c>
      <c r="F690" t="s">
        <v>81</v>
      </c>
      <c r="G690" t="s">
        <v>82</v>
      </c>
      <c r="H690" t="s">
        <v>83</v>
      </c>
      <c r="I690" t="s">
        <v>40</v>
      </c>
      <c r="J690" t="s">
        <v>41</v>
      </c>
      <c r="K690" t="s">
        <v>42</v>
      </c>
      <c r="L690" s="19">
        <v>1</v>
      </c>
      <c r="M690" s="20">
        <v>1774000</v>
      </c>
      <c r="N690" s="20">
        <v>1450400</v>
      </c>
      <c r="O690" s="20">
        <f t="shared" si="32"/>
        <v>323600</v>
      </c>
      <c r="P690" t="s">
        <v>72</v>
      </c>
    </row>
    <row r="691" spans="1:16">
      <c r="A691" t="s">
        <v>771</v>
      </c>
      <c r="B691" s="18">
        <v>46157</v>
      </c>
      <c r="C691" s="19">
        <f t="shared" si="30"/>
        <v>2026</v>
      </c>
      <c r="D691" s="19" t="str">
        <f t="shared" si="31"/>
        <v>May</v>
      </c>
      <c r="E691" t="s">
        <v>33</v>
      </c>
      <c r="F691" t="s">
        <v>34</v>
      </c>
      <c r="G691" t="s">
        <v>34</v>
      </c>
      <c r="H691" t="s">
        <v>35</v>
      </c>
      <c r="I691" t="s">
        <v>40</v>
      </c>
      <c r="J691" t="s">
        <v>41</v>
      </c>
      <c r="K691" t="s">
        <v>42</v>
      </c>
      <c r="L691" s="19">
        <v>1</v>
      </c>
      <c r="M691" s="20">
        <v>1669000</v>
      </c>
      <c r="N691" s="20">
        <v>1353500</v>
      </c>
      <c r="O691" s="20">
        <f t="shared" si="32"/>
        <v>315500</v>
      </c>
      <c r="P691" t="s">
        <v>37</v>
      </c>
    </row>
    <row r="692" spans="1:16">
      <c r="A692" t="s">
        <v>772</v>
      </c>
      <c r="B692" s="18">
        <v>46158</v>
      </c>
      <c r="C692" s="19">
        <f t="shared" si="30"/>
        <v>2026</v>
      </c>
      <c r="D692" s="19" t="str">
        <f t="shared" si="31"/>
        <v>May</v>
      </c>
      <c r="E692" t="s">
        <v>17</v>
      </c>
      <c r="F692" t="s">
        <v>18</v>
      </c>
      <c r="G692" t="s">
        <v>19</v>
      </c>
      <c r="H692" t="s">
        <v>74</v>
      </c>
      <c r="I692" t="s">
        <v>40</v>
      </c>
      <c r="J692" t="s">
        <v>41</v>
      </c>
      <c r="K692" t="s">
        <v>42</v>
      </c>
      <c r="L692" s="19">
        <v>1</v>
      </c>
      <c r="M692" s="20">
        <v>1776000</v>
      </c>
      <c r="N692" s="20">
        <v>1481600</v>
      </c>
      <c r="O692" s="20">
        <f t="shared" si="32"/>
        <v>294400</v>
      </c>
      <c r="P692" t="s">
        <v>78</v>
      </c>
    </row>
    <row r="693" spans="1:16">
      <c r="A693" t="s">
        <v>773</v>
      </c>
      <c r="B693" s="18">
        <v>46158</v>
      </c>
      <c r="C693" s="19">
        <f t="shared" si="30"/>
        <v>2026</v>
      </c>
      <c r="D693" s="19" t="str">
        <f t="shared" si="31"/>
        <v>May</v>
      </c>
      <c r="E693" t="s">
        <v>26</v>
      </c>
      <c r="F693" t="s">
        <v>131</v>
      </c>
      <c r="G693" t="s">
        <v>132</v>
      </c>
      <c r="H693" t="s">
        <v>133</v>
      </c>
      <c r="I693" t="s">
        <v>21</v>
      </c>
      <c r="J693" t="s">
        <v>22</v>
      </c>
      <c r="K693" t="s">
        <v>23</v>
      </c>
      <c r="L693" s="19">
        <v>1</v>
      </c>
      <c r="M693" s="20">
        <v>1910000</v>
      </c>
      <c r="N693" s="20">
        <v>1610200</v>
      </c>
      <c r="O693" s="20">
        <f t="shared" si="32"/>
        <v>299800</v>
      </c>
      <c r="P693" t="s">
        <v>24</v>
      </c>
    </row>
    <row r="694" spans="1:16">
      <c r="A694" t="s">
        <v>774</v>
      </c>
      <c r="B694" s="18">
        <v>46158</v>
      </c>
      <c r="C694" s="19">
        <f t="shared" si="30"/>
        <v>2026</v>
      </c>
      <c r="D694" s="19" t="str">
        <f t="shared" si="31"/>
        <v>May</v>
      </c>
      <c r="E694" t="s">
        <v>17</v>
      </c>
      <c r="F694" t="s">
        <v>18</v>
      </c>
      <c r="G694" t="s">
        <v>19</v>
      </c>
      <c r="H694" t="s">
        <v>74</v>
      </c>
      <c r="I694" t="s">
        <v>63</v>
      </c>
      <c r="J694" t="s">
        <v>41</v>
      </c>
      <c r="K694" t="s">
        <v>58</v>
      </c>
      <c r="L694" s="19">
        <v>1</v>
      </c>
      <c r="M694" s="20">
        <v>1317000</v>
      </c>
      <c r="N694" s="20">
        <v>1121600</v>
      </c>
      <c r="O694" s="20">
        <f t="shared" si="32"/>
        <v>195400</v>
      </c>
      <c r="P694" t="s">
        <v>78</v>
      </c>
    </row>
    <row r="695" spans="1:16">
      <c r="A695" t="s">
        <v>775</v>
      </c>
      <c r="B695" s="18">
        <v>46159</v>
      </c>
      <c r="C695" s="19">
        <f t="shared" si="30"/>
        <v>2026</v>
      </c>
      <c r="D695" s="19" t="str">
        <f t="shared" si="31"/>
        <v>May</v>
      </c>
      <c r="E695" t="s">
        <v>33</v>
      </c>
      <c r="F695" t="s">
        <v>34</v>
      </c>
      <c r="G695" t="s">
        <v>34</v>
      </c>
      <c r="H695" t="s">
        <v>102</v>
      </c>
      <c r="I695" t="s">
        <v>121</v>
      </c>
      <c r="J695" t="s">
        <v>57</v>
      </c>
      <c r="K695" t="s">
        <v>42</v>
      </c>
      <c r="L695" s="19">
        <v>1</v>
      </c>
      <c r="M695" s="20">
        <v>1617000</v>
      </c>
      <c r="N695" s="20">
        <v>1386000</v>
      </c>
      <c r="O695" s="20">
        <f t="shared" si="32"/>
        <v>231000</v>
      </c>
      <c r="P695" t="s">
        <v>24</v>
      </c>
    </row>
    <row r="696" spans="1:16">
      <c r="A696" t="s">
        <v>776</v>
      </c>
      <c r="B696" s="18">
        <v>46160</v>
      </c>
      <c r="C696" s="19">
        <f t="shared" si="30"/>
        <v>2026</v>
      </c>
      <c r="D696" s="19" t="str">
        <f t="shared" si="31"/>
        <v>May</v>
      </c>
      <c r="E696" t="s">
        <v>26</v>
      </c>
      <c r="F696" t="s">
        <v>131</v>
      </c>
      <c r="G696" t="s">
        <v>132</v>
      </c>
      <c r="H696" t="s">
        <v>133</v>
      </c>
      <c r="I696" t="s">
        <v>63</v>
      </c>
      <c r="J696" t="s">
        <v>41</v>
      </c>
      <c r="K696" t="s">
        <v>58</v>
      </c>
      <c r="L696" s="19">
        <v>1</v>
      </c>
      <c r="M696" s="20">
        <v>1312000</v>
      </c>
      <c r="N696" s="20">
        <v>1114400</v>
      </c>
      <c r="O696" s="20">
        <f t="shared" si="32"/>
        <v>197600</v>
      </c>
      <c r="P696" t="s">
        <v>31</v>
      </c>
    </row>
    <row r="697" spans="1:16">
      <c r="A697" t="s">
        <v>777</v>
      </c>
      <c r="B697" s="18">
        <v>46160</v>
      </c>
      <c r="C697" s="19">
        <f t="shared" si="30"/>
        <v>2026</v>
      </c>
      <c r="D697" s="19" t="str">
        <f t="shared" si="31"/>
        <v>May</v>
      </c>
      <c r="E697" t="s">
        <v>17</v>
      </c>
      <c r="F697" t="s">
        <v>18</v>
      </c>
      <c r="G697" t="s">
        <v>19</v>
      </c>
      <c r="H697" t="s">
        <v>74</v>
      </c>
      <c r="I697" t="s">
        <v>71</v>
      </c>
      <c r="J697" t="s">
        <v>49</v>
      </c>
      <c r="K697" t="s">
        <v>58</v>
      </c>
      <c r="L697" s="19">
        <v>1</v>
      </c>
      <c r="M697" s="20">
        <v>1027000</v>
      </c>
      <c r="N697" s="20">
        <v>859300</v>
      </c>
      <c r="O697" s="20">
        <f t="shared" si="32"/>
        <v>167700</v>
      </c>
      <c r="P697" t="s">
        <v>24</v>
      </c>
    </row>
    <row r="698" spans="1:16">
      <c r="A698" t="s">
        <v>778</v>
      </c>
      <c r="B698" s="18">
        <v>46160</v>
      </c>
      <c r="C698" s="19">
        <f t="shared" si="30"/>
        <v>2026</v>
      </c>
      <c r="D698" s="19" t="str">
        <f t="shared" si="31"/>
        <v>May</v>
      </c>
      <c r="E698" t="s">
        <v>26</v>
      </c>
      <c r="F698" t="s">
        <v>131</v>
      </c>
      <c r="G698" t="s">
        <v>132</v>
      </c>
      <c r="H698" t="s">
        <v>133</v>
      </c>
      <c r="I698" t="s">
        <v>40</v>
      </c>
      <c r="J698" t="s">
        <v>41</v>
      </c>
      <c r="K698" t="s">
        <v>42</v>
      </c>
      <c r="L698" s="19">
        <v>1</v>
      </c>
      <c r="M698" s="20">
        <v>1747000</v>
      </c>
      <c r="N698" s="20">
        <v>1466200</v>
      </c>
      <c r="O698" s="20">
        <f t="shared" si="32"/>
        <v>280800</v>
      </c>
      <c r="P698" t="s">
        <v>31</v>
      </c>
    </row>
    <row r="699" spans="1:16">
      <c r="A699" t="s">
        <v>779</v>
      </c>
      <c r="B699" s="18">
        <v>46160</v>
      </c>
      <c r="C699" s="19">
        <f t="shared" si="30"/>
        <v>2026</v>
      </c>
      <c r="D699" s="19" t="str">
        <f t="shared" si="31"/>
        <v>May</v>
      </c>
      <c r="E699" t="s">
        <v>17</v>
      </c>
      <c r="F699" t="s">
        <v>51</v>
      </c>
      <c r="G699" t="s">
        <v>98</v>
      </c>
      <c r="H699" t="s">
        <v>99</v>
      </c>
      <c r="I699" t="s">
        <v>68</v>
      </c>
      <c r="J699" t="s">
        <v>49</v>
      </c>
      <c r="K699" t="s">
        <v>58</v>
      </c>
      <c r="L699" s="19">
        <v>1</v>
      </c>
      <c r="M699" s="20">
        <v>885000</v>
      </c>
      <c r="N699" s="20">
        <v>744600</v>
      </c>
      <c r="O699" s="20">
        <f t="shared" si="32"/>
        <v>140400</v>
      </c>
      <c r="P699" t="s">
        <v>24</v>
      </c>
    </row>
    <row r="700" spans="1:16">
      <c r="A700" t="s">
        <v>780</v>
      </c>
      <c r="B700" s="18">
        <v>46160</v>
      </c>
      <c r="C700" s="19">
        <f t="shared" si="30"/>
        <v>2026</v>
      </c>
      <c r="D700" s="19" t="str">
        <f t="shared" si="31"/>
        <v>May</v>
      </c>
      <c r="E700" t="s">
        <v>33</v>
      </c>
      <c r="F700" t="s">
        <v>92</v>
      </c>
      <c r="G700" t="s">
        <v>93</v>
      </c>
      <c r="H700" t="s">
        <v>94</v>
      </c>
      <c r="I700" t="s">
        <v>63</v>
      </c>
      <c r="J700" t="s">
        <v>41</v>
      </c>
      <c r="K700" t="s">
        <v>58</v>
      </c>
      <c r="L700" s="19">
        <v>1</v>
      </c>
      <c r="M700" s="20">
        <v>1324000</v>
      </c>
      <c r="N700" s="20">
        <v>1133000</v>
      </c>
      <c r="O700" s="20">
        <f t="shared" si="32"/>
        <v>191000</v>
      </c>
      <c r="P700" t="s">
        <v>54</v>
      </c>
    </row>
    <row r="701" spans="1:16">
      <c r="A701" t="s">
        <v>781</v>
      </c>
      <c r="B701" s="18">
        <v>46162</v>
      </c>
      <c r="C701" s="19">
        <f t="shared" si="30"/>
        <v>2026</v>
      </c>
      <c r="D701" s="19" t="str">
        <f t="shared" si="31"/>
        <v>May</v>
      </c>
      <c r="E701" t="s">
        <v>33</v>
      </c>
      <c r="F701" t="s">
        <v>34</v>
      </c>
      <c r="G701" t="s">
        <v>34</v>
      </c>
      <c r="H701" t="s">
        <v>102</v>
      </c>
      <c r="I701" t="s">
        <v>56</v>
      </c>
      <c r="J701" t="s">
        <v>57</v>
      </c>
      <c r="K701" t="s">
        <v>58</v>
      </c>
      <c r="L701" s="19">
        <v>1</v>
      </c>
      <c r="M701" s="20">
        <v>1242000</v>
      </c>
      <c r="N701" s="20">
        <v>1080300</v>
      </c>
      <c r="O701" s="20">
        <f t="shared" si="32"/>
        <v>161700</v>
      </c>
      <c r="P701" t="s">
        <v>37</v>
      </c>
    </row>
    <row r="702" spans="1:16">
      <c r="A702" t="s">
        <v>782</v>
      </c>
      <c r="B702" s="18">
        <v>46162</v>
      </c>
      <c r="C702" s="19">
        <f t="shared" si="30"/>
        <v>2026</v>
      </c>
      <c r="D702" s="19" t="str">
        <f t="shared" si="31"/>
        <v>May</v>
      </c>
      <c r="E702" t="s">
        <v>26</v>
      </c>
      <c r="F702" t="s">
        <v>27</v>
      </c>
      <c r="G702" t="s">
        <v>28</v>
      </c>
      <c r="H702" t="s">
        <v>29</v>
      </c>
      <c r="I702" t="s">
        <v>63</v>
      </c>
      <c r="J702" t="s">
        <v>41</v>
      </c>
      <c r="K702" t="s">
        <v>58</v>
      </c>
      <c r="L702" s="19">
        <v>1</v>
      </c>
      <c r="M702" s="20">
        <v>1325000</v>
      </c>
      <c r="N702" s="20">
        <v>1166000</v>
      </c>
      <c r="O702" s="20">
        <f t="shared" si="32"/>
        <v>159000</v>
      </c>
      <c r="P702" t="s">
        <v>37</v>
      </c>
    </row>
    <row r="703" spans="1:16">
      <c r="A703" t="s">
        <v>783</v>
      </c>
      <c r="B703" s="18">
        <v>46162</v>
      </c>
      <c r="C703" s="19">
        <f t="shared" si="30"/>
        <v>2026</v>
      </c>
      <c r="D703" s="19" t="str">
        <f t="shared" si="31"/>
        <v>May</v>
      </c>
      <c r="E703" t="s">
        <v>17</v>
      </c>
      <c r="F703" t="s">
        <v>18</v>
      </c>
      <c r="G703" t="s">
        <v>60</v>
      </c>
      <c r="H703" t="s">
        <v>61</v>
      </c>
      <c r="I703" t="s">
        <v>71</v>
      </c>
      <c r="J703" t="s">
        <v>49</v>
      </c>
      <c r="K703" t="s">
        <v>58</v>
      </c>
      <c r="L703" s="19">
        <v>1</v>
      </c>
      <c r="M703" s="20">
        <v>1020000</v>
      </c>
      <c r="N703" s="20">
        <v>877200</v>
      </c>
      <c r="O703" s="20">
        <f t="shared" si="32"/>
        <v>142800</v>
      </c>
      <c r="P703" t="s">
        <v>24</v>
      </c>
    </row>
    <row r="704" spans="1:16">
      <c r="A704" t="s">
        <v>784</v>
      </c>
      <c r="B704" s="18">
        <v>46164</v>
      </c>
      <c r="C704" s="19">
        <f t="shared" si="30"/>
        <v>2026</v>
      </c>
      <c r="D704" s="19" t="str">
        <f t="shared" si="31"/>
        <v>May</v>
      </c>
      <c r="E704" t="s">
        <v>33</v>
      </c>
      <c r="F704" t="s">
        <v>34</v>
      </c>
      <c r="G704" t="s">
        <v>34</v>
      </c>
      <c r="H704" t="s">
        <v>35</v>
      </c>
      <c r="I704" t="s">
        <v>71</v>
      </c>
      <c r="J704" t="s">
        <v>49</v>
      </c>
      <c r="K704" t="s">
        <v>58</v>
      </c>
      <c r="L704" s="19">
        <v>1</v>
      </c>
      <c r="M704" s="20">
        <v>1025000</v>
      </c>
      <c r="N704" s="20">
        <v>843700</v>
      </c>
      <c r="O704" s="20">
        <f t="shared" si="32"/>
        <v>181300</v>
      </c>
      <c r="P704" t="s">
        <v>31</v>
      </c>
    </row>
    <row r="705" spans="1:16">
      <c r="A705" t="s">
        <v>785</v>
      </c>
      <c r="B705" s="18">
        <v>46164</v>
      </c>
      <c r="C705" s="19">
        <f t="shared" si="30"/>
        <v>2026</v>
      </c>
      <c r="D705" s="19" t="str">
        <f t="shared" si="31"/>
        <v>May</v>
      </c>
      <c r="E705" t="s">
        <v>17</v>
      </c>
      <c r="F705" t="s">
        <v>51</v>
      </c>
      <c r="G705" t="s">
        <v>52</v>
      </c>
      <c r="H705" t="s">
        <v>70</v>
      </c>
      <c r="I705" t="s">
        <v>71</v>
      </c>
      <c r="J705" t="s">
        <v>49</v>
      </c>
      <c r="K705" t="s">
        <v>58</v>
      </c>
      <c r="L705" s="19">
        <v>1</v>
      </c>
      <c r="M705" s="20">
        <v>970000</v>
      </c>
      <c r="N705" s="20">
        <v>811800</v>
      </c>
      <c r="O705" s="20">
        <f t="shared" si="32"/>
        <v>158200</v>
      </c>
      <c r="P705" t="s">
        <v>31</v>
      </c>
    </row>
    <row r="706" spans="1:16">
      <c r="A706" t="s">
        <v>786</v>
      </c>
      <c r="B706" s="18">
        <v>46164</v>
      </c>
      <c r="C706" s="19">
        <f t="shared" ref="C706:C769" si="33">YEAR(B706)</f>
        <v>2026</v>
      </c>
      <c r="D706" s="19" t="str">
        <f t="shared" ref="D706:D769" si="34">CHOOSE(MONTH(B706),"Jan","Feb","Mar","Apr","May","Jun","Jul","Aug","Sep","Oct","Nov","Dec")</f>
        <v>May</v>
      </c>
      <c r="E706" t="s">
        <v>33</v>
      </c>
      <c r="F706" t="s">
        <v>34</v>
      </c>
      <c r="G706" t="s">
        <v>34</v>
      </c>
      <c r="H706" t="s">
        <v>102</v>
      </c>
      <c r="I706" t="s">
        <v>71</v>
      </c>
      <c r="J706" t="s">
        <v>49</v>
      </c>
      <c r="K706" t="s">
        <v>58</v>
      </c>
      <c r="L706" s="19">
        <v>1</v>
      </c>
      <c r="M706" s="20">
        <v>1028000</v>
      </c>
      <c r="N706" s="20">
        <v>832700</v>
      </c>
      <c r="O706" s="20">
        <f t="shared" ref="O706:O769" si="35">M706-N706</f>
        <v>195300</v>
      </c>
      <c r="P706" t="s">
        <v>24</v>
      </c>
    </row>
    <row r="707" spans="1:16">
      <c r="A707" t="s">
        <v>787</v>
      </c>
      <c r="B707" s="18">
        <v>46164</v>
      </c>
      <c r="C707" s="19">
        <f t="shared" si="33"/>
        <v>2026</v>
      </c>
      <c r="D707" s="19" t="str">
        <f t="shared" si="34"/>
        <v>May</v>
      </c>
      <c r="E707" t="s">
        <v>44</v>
      </c>
      <c r="F707" t="s">
        <v>45</v>
      </c>
      <c r="G707" t="s">
        <v>46</v>
      </c>
      <c r="H707" t="s">
        <v>47</v>
      </c>
      <c r="I707" t="s">
        <v>30</v>
      </c>
      <c r="J707" t="s">
        <v>22</v>
      </c>
      <c r="K707" t="s">
        <v>23</v>
      </c>
      <c r="L707" s="19">
        <v>1</v>
      </c>
      <c r="M707" s="20">
        <v>1765000</v>
      </c>
      <c r="N707" s="20">
        <v>1506200</v>
      </c>
      <c r="O707" s="20">
        <f t="shared" si="35"/>
        <v>258800</v>
      </c>
      <c r="P707" t="s">
        <v>24</v>
      </c>
    </row>
    <row r="708" spans="1:16">
      <c r="A708" t="s">
        <v>788</v>
      </c>
      <c r="B708" s="18">
        <v>46164</v>
      </c>
      <c r="C708" s="19">
        <f t="shared" si="33"/>
        <v>2026</v>
      </c>
      <c r="D708" s="19" t="str">
        <f t="shared" si="34"/>
        <v>May</v>
      </c>
      <c r="E708" t="s">
        <v>17</v>
      </c>
      <c r="F708" t="s">
        <v>51</v>
      </c>
      <c r="G708" t="s">
        <v>52</v>
      </c>
      <c r="H708" t="s">
        <v>70</v>
      </c>
      <c r="I708" t="s">
        <v>40</v>
      </c>
      <c r="J708" t="s">
        <v>41</v>
      </c>
      <c r="K708" t="s">
        <v>42</v>
      </c>
      <c r="L708" s="19">
        <v>1</v>
      </c>
      <c r="M708" s="20">
        <v>1770000</v>
      </c>
      <c r="N708" s="20">
        <v>1478400</v>
      </c>
      <c r="O708" s="20">
        <f t="shared" si="35"/>
        <v>291600</v>
      </c>
      <c r="P708" t="s">
        <v>72</v>
      </c>
    </row>
    <row r="709" spans="1:16">
      <c r="A709" t="s">
        <v>789</v>
      </c>
      <c r="B709" s="18">
        <v>46165</v>
      </c>
      <c r="C709" s="19">
        <f t="shared" si="33"/>
        <v>2026</v>
      </c>
      <c r="D709" s="19" t="str">
        <f t="shared" si="34"/>
        <v>May</v>
      </c>
      <c r="E709" t="s">
        <v>17</v>
      </c>
      <c r="F709" t="s">
        <v>18</v>
      </c>
      <c r="G709" t="s">
        <v>60</v>
      </c>
      <c r="H709" t="s">
        <v>61</v>
      </c>
      <c r="I709" t="s">
        <v>68</v>
      </c>
      <c r="J709" t="s">
        <v>49</v>
      </c>
      <c r="K709" t="s">
        <v>58</v>
      </c>
      <c r="L709" s="19">
        <v>1</v>
      </c>
      <c r="M709" s="20">
        <v>955000</v>
      </c>
      <c r="N709" s="20">
        <v>829900</v>
      </c>
      <c r="O709" s="20">
        <f t="shared" si="35"/>
        <v>125100</v>
      </c>
      <c r="P709" t="s">
        <v>54</v>
      </c>
    </row>
    <row r="710" spans="1:16">
      <c r="A710" t="s">
        <v>790</v>
      </c>
      <c r="B710" s="18">
        <v>46165</v>
      </c>
      <c r="C710" s="19">
        <f t="shared" si="33"/>
        <v>2026</v>
      </c>
      <c r="D710" s="19" t="str">
        <f t="shared" si="34"/>
        <v>May</v>
      </c>
      <c r="E710" t="s">
        <v>26</v>
      </c>
      <c r="F710" t="s">
        <v>65</v>
      </c>
      <c r="G710" t="s">
        <v>66</v>
      </c>
      <c r="H710" t="s">
        <v>67</v>
      </c>
      <c r="I710" t="s">
        <v>56</v>
      </c>
      <c r="J710" t="s">
        <v>57</v>
      </c>
      <c r="K710" t="s">
        <v>58</v>
      </c>
      <c r="L710" s="19">
        <v>1</v>
      </c>
      <c r="M710" s="20">
        <v>1262000</v>
      </c>
      <c r="N710" s="20">
        <v>1047900</v>
      </c>
      <c r="O710" s="20">
        <f t="shared" si="35"/>
        <v>214100</v>
      </c>
      <c r="P710" t="s">
        <v>24</v>
      </c>
    </row>
    <row r="711" spans="1:16">
      <c r="A711" t="s">
        <v>791</v>
      </c>
      <c r="B711" s="18">
        <v>46166</v>
      </c>
      <c r="C711" s="19">
        <f t="shared" si="33"/>
        <v>2026</v>
      </c>
      <c r="D711" s="19" t="str">
        <f t="shared" si="34"/>
        <v>May</v>
      </c>
      <c r="E711" t="s">
        <v>26</v>
      </c>
      <c r="F711" t="s">
        <v>131</v>
      </c>
      <c r="G711" t="s">
        <v>132</v>
      </c>
      <c r="H711" t="s">
        <v>133</v>
      </c>
      <c r="I711" t="s">
        <v>63</v>
      </c>
      <c r="J711" t="s">
        <v>41</v>
      </c>
      <c r="K711" t="s">
        <v>58</v>
      </c>
      <c r="L711" s="19">
        <v>1</v>
      </c>
      <c r="M711" s="20">
        <v>1391000</v>
      </c>
      <c r="N711" s="20">
        <v>1173400</v>
      </c>
      <c r="O711" s="20">
        <f t="shared" si="35"/>
        <v>217600</v>
      </c>
      <c r="P711" t="s">
        <v>31</v>
      </c>
    </row>
    <row r="712" spans="1:16">
      <c r="A712" t="s">
        <v>792</v>
      </c>
      <c r="B712" s="18">
        <v>46167</v>
      </c>
      <c r="C712" s="19">
        <f t="shared" si="33"/>
        <v>2026</v>
      </c>
      <c r="D712" s="19" t="str">
        <f t="shared" si="34"/>
        <v>May</v>
      </c>
      <c r="E712" t="s">
        <v>33</v>
      </c>
      <c r="F712" t="s">
        <v>34</v>
      </c>
      <c r="G712" t="s">
        <v>34</v>
      </c>
      <c r="H712" t="s">
        <v>102</v>
      </c>
      <c r="I712" t="s">
        <v>121</v>
      </c>
      <c r="J712" t="s">
        <v>57</v>
      </c>
      <c r="K712" t="s">
        <v>42</v>
      </c>
      <c r="L712" s="19">
        <v>1</v>
      </c>
      <c r="M712" s="20">
        <v>1579000</v>
      </c>
      <c r="N712" s="20">
        <v>1333500</v>
      </c>
      <c r="O712" s="20">
        <f t="shared" si="35"/>
        <v>245500</v>
      </c>
      <c r="P712" t="s">
        <v>24</v>
      </c>
    </row>
    <row r="713" spans="1:16">
      <c r="A713" t="s">
        <v>793</v>
      </c>
      <c r="B713" s="18">
        <v>46169</v>
      </c>
      <c r="C713" s="19">
        <f t="shared" si="33"/>
        <v>2026</v>
      </c>
      <c r="D713" s="19" t="str">
        <f t="shared" si="34"/>
        <v>May</v>
      </c>
      <c r="E713" t="s">
        <v>26</v>
      </c>
      <c r="F713" t="s">
        <v>131</v>
      </c>
      <c r="G713" t="s">
        <v>132</v>
      </c>
      <c r="H713" t="s">
        <v>133</v>
      </c>
      <c r="I713" t="s">
        <v>68</v>
      </c>
      <c r="J713" t="s">
        <v>49</v>
      </c>
      <c r="K713" t="s">
        <v>58</v>
      </c>
      <c r="L713" s="19">
        <v>1</v>
      </c>
      <c r="M713" s="20">
        <v>900000</v>
      </c>
      <c r="N713" s="20">
        <v>772700</v>
      </c>
      <c r="O713" s="20">
        <f t="shared" si="35"/>
        <v>127300</v>
      </c>
      <c r="P713" t="s">
        <v>31</v>
      </c>
    </row>
    <row r="714" spans="1:16">
      <c r="A714" t="s">
        <v>794</v>
      </c>
      <c r="B714" s="18">
        <v>46169</v>
      </c>
      <c r="C714" s="19">
        <f t="shared" si="33"/>
        <v>2026</v>
      </c>
      <c r="D714" s="19" t="str">
        <f t="shared" si="34"/>
        <v>May</v>
      </c>
      <c r="E714" t="s">
        <v>44</v>
      </c>
      <c r="F714" t="s">
        <v>45</v>
      </c>
      <c r="G714" t="s">
        <v>46</v>
      </c>
      <c r="H714" t="s">
        <v>47</v>
      </c>
      <c r="I714" t="s">
        <v>40</v>
      </c>
      <c r="J714" t="s">
        <v>41</v>
      </c>
      <c r="K714" t="s">
        <v>42</v>
      </c>
      <c r="L714" s="19">
        <v>1</v>
      </c>
      <c r="M714" s="20">
        <v>1769000</v>
      </c>
      <c r="N714" s="20">
        <v>1482800</v>
      </c>
      <c r="O714" s="20">
        <f t="shared" si="35"/>
        <v>286200</v>
      </c>
      <c r="P714" t="s">
        <v>24</v>
      </c>
    </row>
    <row r="715" spans="1:16">
      <c r="A715" t="s">
        <v>795</v>
      </c>
      <c r="B715" s="18">
        <v>46170</v>
      </c>
      <c r="C715" s="19">
        <f t="shared" si="33"/>
        <v>2026</v>
      </c>
      <c r="D715" s="19" t="str">
        <f t="shared" si="34"/>
        <v>May</v>
      </c>
      <c r="E715" t="s">
        <v>26</v>
      </c>
      <c r="F715" t="s">
        <v>27</v>
      </c>
      <c r="G715" t="s">
        <v>28</v>
      </c>
      <c r="H715" t="s">
        <v>39</v>
      </c>
      <c r="I715" t="s">
        <v>48</v>
      </c>
      <c r="J715" t="s">
        <v>49</v>
      </c>
      <c r="K715" t="s">
        <v>42</v>
      </c>
      <c r="L715" s="19">
        <v>1</v>
      </c>
      <c r="M715" s="20">
        <v>1262000</v>
      </c>
      <c r="N715" s="20">
        <v>1052200</v>
      </c>
      <c r="O715" s="20">
        <f t="shared" si="35"/>
        <v>209800</v>
      </c>
      <c r="P715" t="s">
        <v>24</v>
      </c>
    </row>
    <row r="716" spans="1:16">
      <c r="A716" t="s">
        <v>796</v>
      </c>
      <c r="B716" s="18">
        <v>46170</v>
      </c>
      <c r="C716" s="19">
        <f t="shared" si="33"/>
        <v>2026</v>
      </c>
      <c r="D716" s="19" t="str">
        <f t="shared" si="34"/>
        <v>May</v>
      </c>
      <c r="E716" t="s">
        <v>17</v>
      </c>
      <c r="F716" t="s">
        <v>18</v>
      </c>
      <c r="G716" t="s">
        <v>60</v>
      </c>
      <c r="H716" t="s">
        <v>61</v>
      </c>
      <c r="I716" t="s">
        <v>40</v>
      </c>
      <c r="J716" t="s">
        <v>41</v>
      </c>
      <c r="K716" t="s">
        <v>42</v>
      </c>
      <c r="L716" s="19">
        <v>1</v>
      </c>
      <c r="M716" s="20">
        <v>1756000</v>
      </c>
      <c r="N716" s="20">
        <v>1525900</v>
      </c>
      <c r="O716" s="20">
        <f t="shared" si="35"/>
        <v>230100</v>
      </c>
      <c r="P716" t="s">
        <v>54</v>
      </c>
    </row>
    <row r="717" spans="1:16">
      <c r="A717" t="s">
        <v>797</v>
      </c>
      <c r="B717" s="18">
        <v>46171</v>
      </c>
      <c r="C717" s="19">
        <f t="shared" si="33"/>
        <v>2026</v>
      </c>
      <c r="D717" s="19" t="str">
        <f t="shared" si="34"/>
        <v>May</v>
      </c>
      <c r="E717" t="s">
        <v>26</v>
      </c>
      <c r="F717" t="s">
        <v>27</v>
      </c>
      <c r="G717" t="s">
        <v>28</v>
      </c>
      <c r="H717" t="s">
        <v>39</v>
      </c>
      <c r="I717" t="s">
        <v>71</v>
      </c>
      <c r="J717" t="s">
        <v>49</v>
      </c>
      <c r="K717" t="s">
        <v>58</v>
      </c>
      <c r="L717" s="19">
        <v>1</v>
      </c>
      <c r="M717" s="20">
        <v>994000</v>
      </c>
      <c r="N717" s="20">
        <v>824000</v>
      </c>
      <c r="O717" s="20">
        <f t="shared" si="35"/>
        <v>170000</v>
      </c>
      <c r="P717" t="s">
        <v>31</v>
      </c>
    </row>
    <row r="718" spans="1:16">
      <c r="A718" t="s">
        <v>798</v>
      </c>
      <c r="B718" s="18">
        <v>46171</v>
      </c>
      <c r="C718" s="19">
        <f t="shared" si="33"/>
        <v>2026</v>
      </c>
      <c r="D718" s="19" t="str">
        <f t="shared" si="34"/>
        <v>May</v>
      </c>
      <c r="E718" t="s">
        <v>33</v>
      </c>
      <c r="F718" t="s">
        <v>81</v>
      </c>
      <c r="G718" t="s">
        <v>82</v>
      </c>
      <c r="H718" t="s">
        <v>83</v>
      </c>
      <c r="I718" t="s">
        <v>40</v>
      </c>
      <c r="J718" t="s">
        <v>41</v>
      </c>
      <c r="K718" t="s">
        <v>42</v>
      </c>
      <c r="L718" s="19">
        <v>2</v>
      </c>
      <c r="M718" s="20">
        <v>3395000</v>
      </c>
      <c r="N718" s="20">
        <v>2928900</v>
      </c>
      <c r="O718" s="20">
        <f t="shared" si="35"/>
        <v>466100</v>
      </c>
      <c r="P718" t="s">
        <v>54</v>
      </c>
    </row>
    <row r="719" spans="1:16">
      <c r="A719" t="s">
        <v>799</v>
      </c>
      <c r="B719" s="18">
        <v>46171</v>
      </c>
      <c r="C719" s="19">
        <f t="shared" si="33"/>
        <v>2026</v>
      </c>
      <c r="D719" s="19" t="str">
        <f t="shared" si="34"/>
        <v>May</v>
      </c>
      <c r="E719" t="s">
        <v>44</v>
      </c>
      <c r="F719" t="s">
        <v>118</v>
      </c>
      <c r="G719" t="s">
        <v>119</v>
      </c>
      <c r="H719" t="s">
        <v>120</v>
      </c>
      <c r="I719" t="s">
        <v>63</v>
      </c>
      <c r="J719" t="s">
        <v>41</v>
      </c>
      <c r="K719" t="s">
        <v>58</v>
      </c>
      <c r="L719" s="19">
        <v>1</v>
      </c>
      <c r="M719" s="20">
        <v>1311000</v>
      </c>
      <c r="N719" s="20">
        <v>1106800</v>
      </c>
      <c r="O719" s="20">
        <f t="shared" si="35"/>
        <v>204200</v>
      </c>
      <c r="P719" t="s">
        <v>31</v>
      </c>
    </row>
    <row r="720" spans="1:16">
      <c r="A720" t="s">
        <v>800</v>
      </c>
      <c r="B720" s="18">
        <v>46172</v>
      </c>
      <c r="C720" s="19">
        <f t="shared" si="33"/>
        <v>2026</v>
      </c>
      <c r="D720" s="19" t="str">
        <f t="shared" si="34"/>
        <v>May</v>
      </c>
      <c r="E720" t="s">
        <v>17</v>
      </c>
      <c r="F720" t="s">
        <v>51</v>
      </c>
      <c r="G720" t="s">
        <v>52</v>
      </c>
      <c r="H720" t="s">
        <v>53</v>
      </c>
      <c r="I720" t="s">
        <v>63</v>
      </c>
      <c r="J720" t="s">
        <v>41</v>
      </c>
      <c r="K720" t="s">
        <v>58</v>
      </c>
      <c r="L720" s="19">
        <v>1</v>
      </c>
      <c r="M720" s="20">
        <v>1313000</v>
      </c>
      <c r="N720" s="20">
        <v>1113700</v>
      </c>
      <c r="O720" s="20">
        <f t="shared" si="35"/>
        <v>199300</v>
      </c>
      <c r="P720" t="s">
        <v>72</v>
      </c>
    </row>
    <row r="721" spans="1:16">
      <c r="A721" t="s">
        <v>801</v>
      </c>
      <c r="B721" s="18">
        <v>46174</v>
      </c>
      <c r="C721" s="19">
        <f t="shared" si="33"/>
        <v>2026</v>
      </c>
      <c r="D721" s="19" t="str">
        <f t="shared" si="34"/>
        <v>Jun</v>
      </c>
      <c r="E721" t="s">
        <v>26</v>
      </c>
      <c r="F721" t="s">
        <v>131</v>
      </c>
      <c r="G721" t="s">
        <v>132</v>
      </c>
      <c r="H721" t="s">
        <v>133</v>
      </c>
      <c r="I721" t="s">
        <v>56</v>
      </c>
      <c r="J721" t="s">
        <v>57</v>
      </c>
      <c r="K721" t="s">
        <v>58</v>
      </c>
      <c r="L721" s="19">
        <v>1</v>
      </c>
      <c r="M721" s="20">
        <v>1238000</v>
      </c>
      <c r="N721" s="20">
        <v>1055100</v>
      </c>
      <c r="O721" s="20">
        <f t="shared" si="35"/>
        <v>182900</v>
      </c>
      <c r="P721" t="s">
        <v>78</v>
      </c>
    </row>
    <row r="722" spans="1:16">
      <c r="A722" t="s">
        <v>802</v>
      </c>
      <c r="B722" s="18">
        <v>46175</v>
      </c>
      <c r="C722" s="19">
        <f t="shared" si="33"/>
        <v>2026</v>
      </c>
      <c r="D722" s="19" t="str">
        <f t="shared" si="34"/>
        <v>Jun</v>
      </c>
      <c r="E722" t="s">
        <v>17</v>
      </c>
      <c r="F722" t="s">
        <v>51</v>
      </c>
      <c r="G722" t="s">
        <v>52</v>
      </c>
      <c r="H722" t="s">
        <v>70</v>
      </c>
      <c r="I722" t="s">
        <v>68</v>
      </c>
      <c r="J722" t="s">
        <v>49</v>
      </c>
      <c r="K722" t="s">
        <v>58</v>
      </c>
      <c r="L722" s="19">
        <v>1</v>
      </c>
      <c r="M722" s="20">
        <v>888000</v>
      </c>
      <c r="N722" s="20">
        <v>773600</v>
      </c>
      <c r="O722" s="20">
        <f t="shared" si="35"/>
        <v>114400</v>
      </c>
      <c r="P722" t="s">
        <v>24</v>
      </c>
    </row>
    <row r="723" spans="1:16">
      <c r="A723" t="s">
        <v>803</v>
      </c>
      <c r="B723" s="18">
        <v>46175</v>
      </c>
      <c r="C723" s="19">
        <f t="shared" si="33"/>
        <v>2026</v>
      </c>
      <c r="D723" s="19" t="str">
        <f t="shared" si="34"/>
        <v>Jun</v>
      </c>
      <c r="E723" t="s">
        <v>44</v>
      </c>
      <c r="F723" t="s">
        <v>45</v>
      </c>
      <c r="G723" t="s">
        <v>46</v>
      </c>
      <c r="H723" t="s">
        <v>47</v>
      </c>
      <c r="I723" t="s">
        <v>56</v>
      </c>
      <c r="J723" t="s">
        <v>57</v>
      </c>
      <c r="K723" t="s">
        <v>58</v>
      </c>
      <c r="L723" s="19">
        <v>1</v>
      </c>
      <c r="M723" s="20">
        <v>1194000</v>
      </c>
      <c r="N723" s="20">
        <v>1038800</v>
      </c>
      <c r="O723" s="20">
        <f t="shared" si="35"/>
        <v>155200</v>
      </c>
      <c r="P723" t="s">
        <v>37</v>
      </c>
    </row>
    <row r="724" spans="1:16">
      <c r="A724" t="s">
        <v>804</v>
      </c>
      <c r="B724" s="18">
        <v>46176</v>
      </c>
      <c r="C724" s="19">
        <f t="shared" si="33"/>
        <v>2026</v>
      </c>
      <c r="D724" s="19" t="str">
        <f t="shared" si="34"/>
        <v>Jun</v>
      </c>
      <c r="E724" t="s">
        <v>17</v>
      </c>
      <c r="F724" t="s">
        <v>18</v>
      </c>
      <c r="G724" t="s">
        <v>60</v>
      </c>
      <c r="H724" t="s">
        <v>61</v>
      </c>
      <c r="I724" t="s">
        <v>63</v>
      </c>
      <c r="J724" t="s">
        <v>41</v>
      </c>
      <c r="K724" t="s">
        <v>58</v>
      </c>
      <c r="L724" s="19">
        <v>1</v>
      </c>
      <c r="M724" s="20">
        <v>1346000</v>
      </c>
      <c r="N724" s="20">
        <v>1160800</v>
      </c>
      <c r="O724" s="20">
        <f t="shared" si="35"/>
        <v>185200</v>
      </c>
      <c r="P724" t="s">
        <v>72</v>
      </c>
    </row>
    <row r="725" spans="1:16">
      <c r="A725" t="s">
        <v>805</v>
      </c>
      <c r="B725" s="18">
        <v>46176</v>
      </c>
      <c r="C725" s="19">
        <f t="shared" si="33"/>
        <v>2026</v>
      </c>
      <c r="D725" s="19" t="str">
        <f t="shared" si="34"/>
        <v>Jun</v>
      </c>
      <c r="E725" t="s">
        <v>26</v>
      </c>
      <c r="F725" t="s">
        <v>27</v>
      </c>
      <c r="G725" t="s">
        <v>28</v>
      </c>
      <c r="H725" t="s">
        <v>39</v>
      </c>
      <c r="I725" t="s">
        <v>84</v>
      </c>
      <c r="J725" t="s">
        <v>22</v>
      </c>
      <c r="K725" t="s">
        <v>23</v>
      </c>
      <c r="L725" s="19">
        <v>1</v>
      </c>
      <c r="M725" s="20">
        <v>6717000</v>
      </c>
      <c r="N725" s="20">
        <v>5862600</v>
      </c>
      <c r="O725" s="20">
        <f t="shared" si="35"/>
        <v>854400</v>
      </c>
      <c r="P725" t="s">
        <v>78</v>
      </c>
    </row>
    <row r="726" spans="1:16">
      <c r="A726" t="s">
        <v>806</v>
      </c>
      <c r="B726" s="18">
        <v>46176</v>
      </c>
      <c r="C726" s="19">
        <f t="shared" si="33"/>
        <v>2026</v>
      </c>
      <c r="D726" s="19" t="str">
        <f t="shared" si="34"/>
        <v>Jun</v>
      </c>
      <c r="E726" t="s">
        <v>33</v>
      </c>
      <c r="F726" t="s">
        <v>34</v>
      </c>
      <c r="G726" t="s">
        <v>34</v>
      </c>
      <c r="H726" t="s">
        <v>102</v>
      </c>
      <c r="I726" t="s">
        <v>68</v>
      </c>
      <c r="J726" t="s">
        <v>49</v>
      </c>
      <c r="K726" t="s">
        <v>58</v>
      </c>
      <c r="L726" s="19">
        <v>1</v>
      </c>
      <c r="M726" s="20">
        <v>943000</v>
      </c>
      <c r="N726" s="20">
        <v>809500</v>
      </c>
      <c r="O726" s="20">
        <f t="shared" si="35"/>
        <v>133500</v>
      </c>
      <c r="P726" t="s">
        <v>24</v>
      </c>
    </row>
    <row r="727" spans="1:16">
      <c r="A727" t="s">
        <v>807</v>
      </c>
      <c r="B727" s="18">
        <v>46177</v>
      </c>
      <c r="C727" s="19">
        <f t="shared" si="33"/>
        <v>2026</v>
      </c>
      <c r="D727" s="19" t="str">
        <f t="shared" si="34"/>
        <v>Jun</v>
      </c>
      <c r="E727" t="s">
        <v>17</v>
      </c>
      <c r="F727" t="s">
        <v>18</v>
      </c>
      <c r="G727" t="s">
        <v>19</v>
      </c>
      <c r="H727" t="s">
        <v>20</v>
      </c>
      <c r="I727" t="s">
        <v>84</v>
      </c>
      <c r="J727" t="s">
        <v>22</v>
      </c>
      <c r="K727" t="s">
        <v>23</v>
      </c>
      <c r="L727" s="19">
        <v>1</v>
      </c>
      <c r="M727" s="20">
        <v>6668000</v>
      </c>
      <c r="N727" s="20">
        <v>5713300</v>
      </c>
      <c r="O727" s="20">
        <f t="shared" si="35"/>
        <v>954700</v>
      </c>
      <c r="P727" t="s">
        <v>37</v>
      </c>
    </row>
    <row r="728" spans="1:16">
      <c r="A728" t="s">
        <v>808</v>
      </c>
      <c r="B728" s="18">
        <v>46178</v>
      </c>
      <c r="C728" s="19">
        <f t="shared" si="33"/>
        <v>2026</v>
      </c>
      <c r="D728" s="19" t="str">
        <f t="shared" si="34"/>
        <v>Jun</v>
      </c>
      <c r="E728" t="s">
        <v>17</v>
      </c>
      <c r="F728" t="s">
        <v>51</v>
      </c>
      <c r="G728" t="s">
        <v>52</v>
      </c>
      <c r="H728" t="s">
        <v>53</v>
      </c>
      <c r="I728" t="s">
        <v>40</v>
      </c>
      <c r="J728" t="s">
        <v>41</v>
      </c>
      <c r="K728" t="s">
        <v>42</v>
      </c>
      <c r="L728" s="19">
        <v>1</v>
      </c>
      <c r="M728" s="20">
        <v>1736000</v>
      </c>
      <c r="N728" s="20">
        <v>1421800</v>
      </c>
      <c r="O728" s="20">
        <f t="shared" si="35"/>
        <v>314200</v>
      </c>
      <c r="P728" t="s">
        <v>72</v>
      </c>
    </row>
    <row r="729" spans="1:16">
      <c r="A729" t="s">
        <v>809</v>
      </c>
      <c r="B729" s="18">
        <v>46179</v>
      </c>
      <c r="C729" s="19">
        <f t="shared" si="33"/>
        <v>2026</v>
      </c>
      <c r="D729" s="19" t="str">
        <f t="shared" si="34"/>
        <v>Jun</v>
      </c>
      <c r="E729" t="s">
        <v>17</v>
      </c>
      <c r="F729" t="s">
        <v>18</v>
      </c>
      <c r="G729" t="s">
        <v>19</v>
      </c>
      <c r="H729" t="s">
        <v>20</v>
      </c>
      <c r="I729" t="s">
        <v>40</v>
      </c>
      <c r="J729" t="s">
        <v>41</v>
      </c>
      <c r="K729" t="s">
        <v>42</v>
      </c>
      <c r="L729" s="19">
        <v>1</v>
      </c>
      <c r="M729" s="20">
        <v>1667000</v>
      </c>
      <c r="N729" s="20">
        <v>1450100</v>
      </c>
      <c r="O729" s="20">
        <f t="shared" si="35"/>
        <v>216900</v>
      </c>
      <c r="P729" t="s">
        <v>24</v>
      </c>
    </row>
    <row r="730" spans="1:16">
      <c r="A730" t="s">
        <v>810</v>
      </c>
      <c r="B730" s="18">
        <v>46179</v>
      </c>
      <c r="C730" s="19">
        <f t="shared" si="33"/>
        <v>2026</v>
      </c>
      <c r="D730" s="19" t="str">
        <f t="shared" si="34"/>
        <v>Jun</v>
      </c>
      <c r="E730" t="s">
        <v>26</v>
      </c>
      <c r="F730" t="s">
        <v>65</v>
      </c>
      <c r="G730" t="s">
        <v>66</v>
      </c>
      <c r="H730" t="s">
        <v>67</v>
      </c>
      <c r="I730" t="s">
        <v>56</v>
      </c>
      <c r="J730" t="s">
        <v>57</v>
      </c>
      <c r="K730" t="s">
        <v>58</v>
      </c>
      <c r="L730" s="19">
        <v>1</v>
      </c>
      <c r="M730" s="20">
        <v>1252000</v>
      </c>
      <c r="N730" s="20">
        <v>1095300</v>
      </c>
      <c r="O730" s="20">
        <f t="shared" si="35"/>
        <v>156700</v>
      </c>
      <c r="P730" t="s">
        <v>54</v>
      </c>
    </row>
    <row r="731" spans="1:16">
      <c r="A731" t="s">
        <v>811</v>
      </c>
      <c r="B731" s="18">
        <v>46181</v>
      </c>
      <c r="C731" s="19">
        <f t="shared" si="33"/>
        <v>2026</v>
      </c>
      <c r="D731" s="19" t="str">
        <f t="shared" si="34"/>
        <v>Jun</v>
      </c>
      <c r="E731" t="s">
        <v>44</v>
      </c>
      <c r="F731" t="s">
        <v>45</v>
      </c>
      <c r="G731" t="s">
        <v>46</v>
      </c>
      <c r="H731" t="s">
        <v>47</v>
      </c>
      <c r="I731" t="s">
        <v>56</v>
      </c>
      <c r="J731" t="s">
        <v>57</v>
      </c>
      <c r="K731" t="s">
        <v>58</v>
      </c>
      <c r="L731" s="19">
        <v>1</v>
      </c>
      <c r="M731" s="20">
        <v>1261000</v>
      </c>
      <c r="N731" s="20">
        <v>1027200</v>
      </c>
      <c r="O731" s="20">
        <f t="shared" si="35"/>
        <v>233800</v>
      </c>
      <c r="P731" t="s">
        <v>31</v>
      </c>
    </row>
    <row r="732" spans="1:16">
      <c r="A732" t="s">
        <v>812</v>
      </c>
      <c r="B732" s="18">
        <v>46181</v>
      </c>
      <c r="C732" s="19">
        <f t="shared" si="33"/>
        <v>2026</v>
      </c>
      <c r="D732" s="19" t="str">
        <f t="shared" si="34"/>
        <v>Jun</v>
      </c>
      <c r="E732" t="s">
        <v>26</v>
      </c>
      <c r="F732" t="s">
        <v>27</v>
      </c>
      <c r="G732" t="s">
        <v>28</v>
      </c>
      <c r="H732" t="s">
        <v>39</v>
      </c>
      <c r="I732" t="s">
        <v>30</v>
      </c>
      <c r="J732" t="s">
        <v>22</v>
      </c>
      <c r="K732" t="s">
        <v>23</v>
      </c>
      <c r="L732" s="19">
        <v>1</v>
      </c>
      <c r="M732" s="20">
        <v>1859000</v>
      </c>
      <c r="N732" s="20">
        <v>1517800</v>
      </c>
      <c r="O732" s="20">
        <f t="shared" si="35"/>
        <v>341200</v>
      </c>
      <c r="P732" t="s">
        <v>31</v>
      </c>
    </row>
    <row r="733" spans="1:16">
      <c r="A733" t="s">
        <v>813</v>
      </c>
      <c r="B733" s="18">
        <v>46181</v>
      </c>
      <c r="C733" s="19">
        <f t="shared" si="33"/>
        <v>2026</v>
      </c>
      <c r="D733" s="19" t="str">
        <f t="shared" si="34"/>
        <v>Jun</v>
      </c>
      <c r="E733" t="s">
        <v>26</v>
      </c>
      <c r="F733" t="s">
        <v>65</v>
      </c>
      <c r="G733" t="s">
        <v>66</v>
      </c>
      <c r="H733" t="s">
        <v>67</v>
      </c>
      <c r="I733" t="s">
        <v>71</v>
      </c>
      <c r="J733" t="s">
        <v>49</v>
      </c>
      <c r="K733" t="s">
        <v>58</v>
      </c>
      <c r="L733" s="19">
        <v>1</v>
      </c>
      <c r="M733" s="20">
        <v>970000</v>
      </c>
      <c r="N733" s="20">
        <v>789800</v>
      </c>
      <c r="O733" s="20">
        <f t="shared" si="35"/>
        <v>180200</v>
      </c>
      <c r="P733" t="s">
        <v>37</v>
      </c>
    </row>
    <row r="734" spans="1:16">
      <c r="A734" t="s">
        <v>814</v>
      </c>
      <c r="B734" s="18">
        <v>46183</v>
      </c>
      <c r="C734" s="19">
        <f t="shared" si="33"/>
        <v>2026</v>
      </c>
      <c r="D734" s="19" t="str">
        <f t="shared" si="34"/>
        <v>Jun</v>
      </c>
      <c r="E734" t="s">
        <v>17</v>
      </c>
      <c r="F734" t="s">
        <v>18</v>
      </c>
      <c r="G734" t="s">
        <v>60</v>
      </c>
      <c r="H734" t="s">
        <v>61</v>
      </c>
      <c r="I734" t="s">
        <v>48</v>
      </c>
      <c r="J734" t="s">
        <v>49</v>
      </c>
      <c r="K734" t="s">
        <v>42</v>
      </c>
      <c r="L734" s="19">
        <v>1</v>
      </c>
      <c r="M734" s="20">
        <v>1251000</v>
      </c>
      <c r="N734" s="20">
        <v>1027800</v>
      </c>
      <c r="O734" s="20">
        <f t="shared" si="35"/>
        <v>223200</v>
      </c>
      <c r="P734" t="s">
        <v>31</v>
      </c>
    </row>
    <row r="735" spans="1:16">
      <c r="A735" t="s">
        <v>815</v>
      </c>
      <c r="B735" s="18">
        <v>46183</v>
      </c>
      <c r="C735" s="19">
        <f t="shared" si="33"/>
        <v>2026</v>
      </c>
      <c r="D735" s="19" t="str">
        <f t="shared" si="34"/>
        <v>Jun</v>
      </c>
      <c r="E735" t="s">
        <v>17</v>
      </c>
      <c r="F735" t="s">
        <v>18</v>
      </c>
      <c r="G735" t="s">
        <v>60</v>
      </c>
      <c r="H735" t="s">
        <v>61</v>
      </c>
      <c r="I735" t="s">
        <v>40</v>
      </c>
      <c r="J735" t="s">
        <v>41</v>
      </c>
      <c r="K735" t="s">
        <v>42</v>
      </c>
      <c r="L735" s="19">
        <v>1</v>
      </c>
      <c r="M735" s="20">
        <v>1745000</v>
      </c>
      <c r="N735" s="20">
        <v>1527600</v>
      </c>
      <c r="O735" s="20">
        <f t="shared" si="35"/>
        <v>217400</v>
      </c>
      <c r="P735" t="s">
        <v>54</v>
      </c>
    </row>
    <row r="736" spans="1:16">
      <c r="A736" t="s">
        <v>816</v>
      </c>
      <c r="B736" s="18">
        <v>46185</v>
      </c>
      <c r="C736" s="19">
        <f t="shared" si="33"/>
        <v>2026</v>
      </c>
      <c r="D736" s="19" t="str">
        <f t="shared" si="34"/>
        <v>Jun</v>
      </c>
      <c r="E736" t="s">
        <v>17</v>
      </c>
      <c r="F736" t="s">
        <v>18</v>
      </c>
      <c r="G736" t="s">
        <v>19</v>
      </c>
      <c r="H736" t="s">
        <v>20</v>
      </c>
      <c r="I736" t="s">
        <v>21</v>
      </c>
      <c r="J736" t="s">
        <v>22</v>
      </c>
      <c r="K736" t="s">
        <v>23</v>
      </c>
      <c r="L736" s="19">
        <v>1</v>
      </c>
      <c r="M736" s="20">
        <v>1798000</v>
      </c>
      <c r="N736" s="20">
        <v>1539100</v>
      </c>
      <c r="O736" s="20">
        <f t="shared" si="35"/>
        <v>258900</v>
      </c>
      <c r="P736" t="s">
        <v>24</v>
      </c>
    </row>
    <row r="737" spans="1:16">
      <c r="A737" t="s">
        <v>817</v>
      </c>
      <c r="B737" s="18">
        <v>46186</v>
      </c>
      <c r="C737" s="19">
        <f t="shared" si="33"/>
        <v>2026</v>
      </c>
      <c r="D737" s="19" t="str">
        <f t="shared" si="34"/>
        <v>Jun</v>
      </c>
      <c r="E737" t="s">
        <v>26</v>
      </c>
      <c r="F737" t="s">
        <v>131</v>
      </c>
      <c r="G737" t="s">
        <v>132</v>
      </c>
      <c r="H737" t="s">
        <v>133</v>
      </c>
      <c r="I737" t="s">
        <v>171</v>
      </c>
      <c r="J737" t="s">
        <v>22</v>
      </c>
      <c r="K737" t="s">
        <v>42</v>
      </c>
      <c r="L737" s="19">
        <v>1</v>
      </c>
      <c r="M737" s="20">
        <v>6109000</v>
      </c>
      <c r="N737" s="20">
        <v>5095600</v>
      </c>
      <c r="O737" s="20">
        <f t="shared" si="35"/>
        <v>1013400</v>
      </c>
      <c r="P737" t="s">
        <v>72</v>
      </c>
    </row>
    <row r="738" spans="1:16">
      <c r="A738" t="s">
        <v>818</v>
      </c>
      <c r="B738" s="18">
        <v>46186</v>
      </c>
      <c r="C738" s="19">
        <f t="shared" si="33"/>
        <v>2026</v>
      </c>
      <c r="D738" s="19" t="str">
        <f t="shared" si="34"/>
        <v>Jun</v>
      </c>
      <c r="E738" t="s">
        <v>33</v>
      </c>
      <c r="F738" t="s">
        <v>92</v>
      </c>
      <c r="G738" t="s">
        <v>93</v>
      </c>
      <c r="H738" t="s">
        <v>94</v>
      </c>
      <c r="I738" t="s">
        <v>21</v>
      </c>
      <c r="J738" t="s">
        <v>22</v>
      </c>
      <c r="K738" t="s">
        <v>23</v>
      </c>
      <c r="L738" s="19">
        <v>1</v>
      </c>
      <c r="M738" s="20">
        <v>1848000</v>
      </c>
      <c r="N738" s="20">
        <v>1613400</v>
      </c>
      <c r="O738" s="20">
        <f t="shared" si="35"/>
        <v>234600</v>
      </c>
      <c r="P738" t="s">
        <v>54</v>
      </c>
    </row>
    <row r="739" spans="1:16">
      <c r="A739" t="s">
        <v>819</v>
      </c>
      <c r="B739" s="18">
        <v>46187</v>
      </c>
      <c r="C739" s="19">
        <f t="shared" si="33"/>
        <v>2026</v>
      </c>
      <c r="D739" s="19" t="str">
        <f t="shared" si="34"/>
        <v>Jun</v>
      </c>
      <c r="E739" t="s">
        <v>33</v>
      </c>
      <c r="F739" t="s">
        <v>34</v>
      </c>
      <c r="G739" t="s">
        <v>34</v>
      </c>
      <c r="H739" t="s">
        <v>102</v>
      </c>
      <c r="I739" t="s">
        <v>40</v>
      </c>
      <c r="J739" t="s">
        <v>41</v>
      </c>
      <c r="K739" t="s">
        <v>42</v>
      </c>
      <c r="L739" s="19">
        <v>1</v>
      </c>
      <c r="M739" s="20">
        <v>1653000</v>
      </c>
      <c r="N739" s="20">
        <v>1350100</v>
      </c>
      <c r="O739" s="20">
        <f t="shared" si="35"/>
        <v>302900</v>
      </c>
      <c r="P739" t="s">
        <v>24</v>
      </c>
    </row>
    <row r="740" spans="1:16">
      <c r="A740" t="s">
        <v>820</v>
      </c>
      <c r="B740" s="18">
        <v>46187</v>
      </c>
      <c r="C740" s="19">
        <f t="shared" si="33"/>
        <v>2026</v>
      </c>
      <c r="D740" s="19" t="str">
        <f t="shared" si="34"/>
        <v>Jun</v>
      </c>
      <c r="E740" t="s">
        <v>33</v>
      </c>
      <c r="F740" t="s">
        <v>34</v>
      </c>
      <c r="G740" t="s">
        <v>34</v>
      </c>
      <c r="H740" t="s">
        <v>102</v>
      </c>
      <c r="I740" t="s">
        <v>48</v>
      </c>
      <c r="J740" t="s">
        <v>49</v>
      </c>
      <c r="K740" t="s">
        <v>42</v>
      </c>
      <c r="L740" s="19">
        <v>1</v>
      </c>
      <c r="M740" s="20">
        <v>1261000</v>
      </c>
      <c r="N740" s="20">
        <v>1008900</v>
      </c>
      <c r="O740" s="20">
        <f t="shared" si="35"/>
        <v>252100</v>
      </c>
      <c r="P740" t="s">
        <v>24</v>
      </c>
    </row>
    <row r="741" spans="1:16">
      <c r="A741" t="s">
        <v>821</v>
      </c>
      <c r="B741" s="18">
        <v>46187</v>
      </c>
      <c r="C741" s="19">
        <f t="shared" si="33"/>
        <v>2026</v>
      </c>
      <c r="D741" s="19" t="str">
        <f t="shared" si="34"/>
        <v>Jun</v>
      </c>
      <c r="E741" t="s">
        <v>33</v>
      </c>
      <c r="F741" t="s">
        <v>34</v>
      </c>
      <c r="G741" t="s">
        <v>34</v>
      </c>
      <c r="H741" t="s">
        <v>35</v>
      </c>
      <c r="I741" t="s">
        <v>40</v>
      </c>
      <c r="J741" t="s">
        <v>41</v>
      </c>
      <c r="K741" t="s">
        <v>42</v>
      </c>
      <c r="L741" s="19">
        <v>1</v>
      </c>
      <c r="M741" s="20">
        <v>1736000</v>
      </c>
      <c r="N741" s="20">
        <v>1396000</v>
      </c>
      <c r="O741" s="20">
        <f t="shared" si="35"/>
        <v>340000</v>
      </c>
      <c r="P741" t="s">
        <v>37</v>
      </c>
    </row>
    <row r="742" spans="1:16">
      <c r="A742" t="s">
        <v>822</v>
      </c>
      <c r="B742" s="18">
        <v>46188</v>
      </c>
      <c r="C742" s="19">
        <f t="shared" si="33"/>
        <v>2026</v>
      </c>
      <c r="D742" s="19" t="str">
        <f t="shared" si="34"/>
        <v>Jun</v>
      </c>
      <c r="E742" t="s">
        <v>26</v>
      </c>
      <c r="F742" t="s">
        <v>27</v>
      </c>
      <c r="G742" t="s">
        <v>28</v>
      </c>
      <c r="H742" t="s">
        <v>29</v>
      </c>
      <c r="I742" t="s">
        <v>68</v>
      </c>
      <c r="J742" t="s">
        <v>49</v>
      </c>
      <c r="K742" t="s">
        <v>58</v>
      </c>
      <c r="L742" s="19">
        <v>1</v>
      </c>
      <c r="M742" s="20">
        <v>920000</v>
      </c>
      <c r="N742" s="20">
        <v>794000</v>
      </c>
      <c r="O742" s="20">
        <f t="shared" si="35"/>
        <v>126000</v>
      </c>
      <c r="P742" t="s">
        <v>37</v>
      </c>
    </row>
    <row r="743" spans="1:16">
      <c r="A743" t="s">
        <v>823</v>
      </c>
      <c r="B743" s="18">
        <v>46190</v>
      </c>
      <c r="C743" s="19">
        <f t="shared" si="33"/>
        <v>2026</v>
      </c>
      <c r="D743" s="19" t="str">
        <f t="shared" si="34"/>
        <v>Jun</v>
      </c>
      <c r="E743" t="s">
        <v>26</v>
      </c>
      <c r="F743" t="s">
        <v>131</v>
      </c>
      <c r="G743" t="s">
        <v>132</v>
      </c>
      <c r="H743" t="s">
        <v>133</v>
      </c>
      <c r="I743" t="s">
        <v>21</v>
      </c>
      <c r="J743" t="s">
        <v>22</v>
      </c>
      <c r="K743" t="s">
        <v>23</v>
      </c>
      <c r="L743" s="19">
        <v>1</v>
      </c>
      <c r="M743" s="20">
        <v>1845000</v>
      </c>
      <c r="N743" s="20">
        <v>1508200</v>
      </c>
      <c r="O743" s="20">
        <f t="shared" si="35"/>
        <v>336800</v>
      </c>
      <c r="P743" t="s">
        <v>78</v>
      </c>
    </row>
    <row r="744" spans="1:16">
      <c r="A744" t="s">
        <v>824</v>
      </c>
      <c r="B744" s="18">
        <v>46190</v>
      </c>
      <c r="C744" s="19">
        <f t="shared" si="33"/>
        <v>2026</v>
      </c>
      <c r="D744" s="19" t="str">
        <f t="shared" si="34"/>
        <v>Jun</v>
      </c>
      <c r="E744" t="s">
        <v>33</v>
      </c>
      <c r="F744" t="s">
        <v>92</v>
      </c>
      <c r="G744" t="s">
        <v>93</v>
      </c>
      <c r="H744" t="s">
        <v>94</v>
      </c>
      <c r="I744" t="s">
        <v>84</v>
      </c>
      <c r="J744" t="s">
        <v>22</v>
      </c>
      <c r="K744" t="s">
        <v>23</v>
      </c>
      <c r="L744" s="19">
        <v>1</v>
      </c>
      <c r="M744" s="20">
        <v>6723000</v>
      </c>
      <c r="N744" s="20">
        <v>5555400</v>
      </c>
      <c r="O744" s="20">
        <f t="shared" si="35"/>
        <v>1167600</v>
      </c>
      <c r="P744" t="s">
        <v>78</v>
      </c>
    </row>
    <row r="745" spans="1:16">
      <c r="A745" t="s">
        <v>825</v>
      </c>
      <c r="B745" s="18">
        <v>46192</v>
      </c>
      <c r="C745" s="19">
        <f t="shared" si="33"/>
        <v>2026</v>
      </c>
      <c r="D745" s="19" t="str">
        <f t="shared" si="34"/>
        <v>Jun</v>
      </c>
      <c r="E745" t="s">
        <v>33</v>
      </c>
      <c r="F745" t="s">
        <v>92</v>
      </c>
      <c r="G745" t="s">
        <v>93</v>
      </c>
      <c r="H745" t="s">
        <v>94</v>
      </c>
      <c r="I745" t="s">
        <v>68</v>
      </c>
      <c r="J745" t="s">
        <v>49</v>
      </c>
      <c r="K745" t="s">
        <v>58</v>
      </c>
      <c r="L745" s="19">
        <v>1</v>
      </c>
      <c r="M745" s="20">
        <v>927000</v>
      </c>
      <c r="N745" s="20">
        <v>798400</v>
      </c>
      <c r="O745" s="20">
        <f t="shared" si="35"/>
        <v>128600</v>
      </c>
      <c r="P745" t="s">
        <v>24</v>
      </c>
    </row>
    <row r="746" spans="1:16">
      <c r="A746" t="s">
        <v>826</v>
      </c>
      <c r="B746" s="18">
        <v>46192</v>
      </c>
      <c r="C746" s="19">
        <f t="shared" si="33"/>
        <v>2026</v>
      </c>
      <c r="D746" s="19" t="str">
        <f t="shared" si="34"/>
        <v>Jun</v>
      </c>
      <c r="E746" t="s">
        <v>26</v>
      </c>
      <c r="F746" t="s">
        <v>131</v>
      </c>
      <c r="G746" t="s">
        <v>132</v>
      </c>
      <c r="H746" t="s">
        <v>133</v>
      </c>
      <c r="I746" t="s">
        <v>48</v>
      </c>
      <c r="J746" t="s">
        <v>49</v>
      </c>
      <c r="K746" t="s">
        <v>42</v>
      </c>
      <c r="L746" s="19">
        <v>1</v>
      </c>
      <c r="M746" s="20">
        <v>1234000</v>
      </c>
      <c r="N746" s="20">
        <v>1034500</v>
      </c>
      <c r="O746" s="20">
        <f t="shared" si="35"/>
        <v>199500</v>
      </c>
      <c r="P746" t="s">
        <v>37</v>
      </c>
    </row>
    <row r="747" spans="1:16">
      <c r="A747" t="s">
        <v>827</v>
      </c>
      <c r="B747" s="18">
        <v>46192</v>
      </c>
      <c r="C747" s="19">
        <f t="shared" si="33"/>
        <v>2026</v>
      </c>
      <c r="D747" s="19" t="str">
        <f t="shared" si="34"/>
        <v>Jun</v>
      </c>
      <c r="E747" t="s">
        <v>33</v>
      </c>
      <c r="F747" t="s">
        <v>34</v>
      </c>
      <c r="G747" t="s">
        <v>34</v>
      </c>
      <c r="H747" t="s">
        <v>102</v>
      </c>
      <c r="I747" t="s">
        <v>121</v>
      </c>
      <c r="J747" t="s">
        <v>57</v>
      </c>
      <c r="K747" t="s">
        <v>42</v>
      </c>
      <c r="L747" s="19">
        <v>1</v>
      </c>
      <c r="M747" s="20">
        <v>1629000</v>
      </c>
      <c r="N747" s="20">
        <v>1319900</v>
      </c>
      <c r="O747" s="20">
        <f t="shared" si="35"/>
        <v>309100</v>
      </c>
      <c r="P747" t="s">
        <v>72</v>
      </c>
    </row>
    <row r="748" spans="1:16">
      <c r="A748" t="s">
        <v>828</v>
      </c>
      <c r="B748" s="18">
        <v>46193</v>
      </c>
      <c r="C748" s="19">
        <f t="shared" si="33"/>
        <v>2026</v>
      </c>
      <c r="D748" s="19" t="str">
        <f t="shared" si="34"/>
        <v>Jun</v>
      </c>
      <c r="E748" t="s">
        <v>17</v>
      </c>
      <c r="F748" t="s">
        <v>51</v>
      </c>
      <c r="G748" t="s">
        <v>52</v>
      </c>
      <c r="H748" t="s">
        <v>70</v>
      </c>
      <c r="I748" t="s">
        <v>68</v>
      </c>
      <c r="J748" t="s">
        <v>49</v>
      </c>
      <c r="K748" t="s">
        <v>58</v>
      </c>
      <c r="L748" s="19">
        <v>1</v>
      </c>
      <c r="M748" s="20">
        <v>945000</v>
      </c>
      <c r="N748" s="20">
        <v>795700</v>
      </c>
      <c r="O748" s="20">
        <f t="shared" si="35"/>
        <v>149300</v>
      </c>
      <c r="P748" t="s">
        <v>37</v>
      </c>
    </row>
    <row r="749" spans="1:16">
      <c r="A749" t="s">
        <v>829</v>
      </c>
      <c r="B749" s="18">
        <v>46194</v>
      </c>
      <c r="C749" s="19">
        <f t="shared" si="33"/>
        <v>2026</v>
      </c>
      <c r="D749" s="19" t="str">
        <f t="shared" si="34"/>
        <v>Jun</v>
      </c>
      <c r="E749" t="s">
        <v>17</v>
      </c>
      <c r="F749" t="s">
        <v>18</v>
      </c>
      <c r="G749" t="s">
        <v>60</v>
      </c>
      <c r="H749" t="s">
        <v>61</v>
      </c>
      <c r="I749" t="s">
        <v>56</v>
      </c>
      <c r="J749" t="s">
        <v>57</v>
      </c>
      <c r="K749" t="s">
        <v>58</v>
      </c>
      <c r="L749" s="19">
        <v>1</v>
      </c>
      <c r="M749" s="20">
        <v>1253000</v>
      </c>
      <c r="N749" s="20">
        <v>1089000</v>
      </c>
      <c r="O749" s="20">
        <f t="shared" si="35"/>
        <v>164000</v>
      </c>
      <c r="P749" t="s">
        <v>31</v>
      </c>
    </row>
    <row r="750" spans="1:16">
      <c r="A750" t="s">
        <v>830</v>
      </c>
      <c r="B750" s="18">
        <v>46194</v>
      </c>
      <c r="C750" s="19">
        <f t="shared" si="33"/>
        <v>2026</v>
      </c>
      <c r="D750" s="19" t="str">
        <f t="shared" si="34"/>
        <v>Jun</v>
      </c>
      <c r="E750" t="s">
        <v>17</v>
      </c>
      <c r="F750" t="s">
        <v>18</v>
      </c>
      <c r="G750" t="s">
        <v>60</v>
      </c>
      <c r="H750" t="s">
        <v>61</v>
      </c>
      <c r="I750" t="s">
        <v>21</v>
      </c>
      <c r="J750" t="s">
        <v>22</v>
      </c>
      <c r="K750" t="s">
        <v>23</v>
      </c>
      <c r="L750" s="19">
        <v>1</v>
      </c>
      <c r="M750" s="20">
        <v>1795000</v>
      </c>
      <c r="N750" s="20">
        <v>1571800</v>
      </c>
      <c r="O750" s="20">
        <f t="shared" si="35"/>
        <v>223200</v>
      </c>
      <c r="P750" t="s">
        <v>54</v>
      </c>
    </row>
    <row r="751" spans="1:16">
      <c r="A751" t="s">
        <v>831</v>
      </c>
      <c r="B751" s="18">
        <v>46194</v>
      </c>
      <c r="C751" s="19">
        <f t="shared" si="33"/>
        <v>2026</v>
      </c>
      <c r="D751" s="19" t="str">
        <f t="shared" si="34"/>
        <v>Jun</v>
      </c>
      <c r="E751" t="s">
        <v>17</v>
      </c>
      <c r="F751" t="s">
        <v>18</v>
      </c>
      <c r="G751" t="s">
        <v>60</v>
      </c>
      <c r="H751" t="s">
        <v>61</v>
      </c>
      <c r="I751" t="s">
        <v>71</v>
      </c>
      <c r="J751" t="s">
        <v>49</v>
      </c>
      <c r="K751" t="s">
        <v>58</v>
      </c>
      <c r="L751" s="19">
        <v>1</v>
      </c>
      <c r="M751" s="20">
        <v>1003000</v>
      </c>
      <c r="N751" s="20">
        <v>837000</v>
      </c>
      <c r="O751" s="20">
        <f t="shared" si="35"/>
        <v>166000</v>
      </c>
      <c r="P751" t="s">
        <v>78</v>
      </c>
    </row>
    <row r="752" spans="1:16">
      <c r="A752" t="s">
        <v>832</v>
      </c>
      <c r="B752" s="18">
        <v>46195</v>
      </c>
      <c r="C752" s="19">
        <f t="shared" si="33"/>
        <v>2026</v>
      </c>
      <c r="D752" s="19" t="str">
        <f t="shared" si="34"/>
        <v>Jun</v>
      </c>
      <c r="E752" t="s">
        <v>26</v>
      </c>
      <c r="F752" t="s">
        <v>65</v>
      </c>
      <c r="G752" t="s">
        <v>66</v>
      </c>
      <c r="H752" t="s">
        <v>67</v>
      </c>
      <c r="I752" t="s">
        <v>121</v>
      </c>
      <c r="J752" t="s">
        <v>57</v>
      </c>
      <c r="K752" t="s">
        <v>42</v>
      </c>
      <c r="L752" s="19">
        <v>1</v>
      </c>
      <c r="M752" s="20">
        <v>1574000</v>
      </c>
      <c r="N752" s="20">
        <v>1287900</v>
      </c>
      <c r="O752" s="20">
        <f t="shared" si="35"/>
        <v>286100</v>
      </c>
      <c r="P752" t="s">
        <v>31</v>
      </c>
    </row>
    <row r="753" spans="1:16">
      <c r="A753" t="s">
        <v>833</v>
      </c>
      <c r="B753" s="18">
        <v>46195</v>
      </c>
      <c r="C753" s="19">
        <f t="shared" si="33"/>
        <v>2026</v>
      </c>
      <c r="D753" s="19" t="str">
        <f t="shared" si="34"/>
        <v>Jun</v>
      </c>
      <c r="E753" t="s">
        <v>17</v>
      </c>
      <c r="F753" t="s">
        <v>51</v>
      </c>
      <c r="G753" t="s">
        <v>98</v>
      </c>
      <c r="H753" t="s">
        <v>99</v>
      </c>
      <c r="I753" t="s">
        <v>40</v>
      </c>
      <c r="J753" t="s">
        <v>41</v>
      </c>
      <c r="K753" t="s">
        <v>42</v>
      </c>
      <c r="L753" s="19">
        <v>1</v>
      </c>
      <c r="M753" s="20">
        <v>1676000</v>
      </c>
      <c r="N753" s="20">
        <v>1450600</v>
      </c>
      <c r="O753" s="20">
        <f t="shared" si="35"/>
        <v>225400</v>
      </c>
      <c r="P753" t="s">
        <v>31</v>
      </c>
    </row>
    <row r="754" spans="1:16">
      <c r="A754" t="s">
        <v>834</v>
      </c>
      <c r="B754" s="18">
        <v>46195</v>
      </c>
      <c r="C754" s="19">
        <f t="shared" si="33"/>
        <v>2026</v>
      </c>
      <c r="D754" s="19" t="str">
        <f t="shared" si="34"/>
        <v>Jun</v>
      </c>
      <c r="E754" t="s">
        <v>17</v>
      </c>
      <c r="F754" t="s">
        <v>18</v>
      </c>
      <c r="G754" t="s">
        <v>60</v>
      </c>
      <c r="H754" t="s">
        <v>61</v>
      </c>
      <c r="I754" t="s">
        <v>121</v>
      </c>
      <c r="J754" t="s">
        <v>57</v>
      </c>
      <c r="K754" t="s">
        <v>42</v>
      </c>
      <c r="L754" s="19">
        <v>1</v>
      </c>
      <c r="M754" s="20">
        <v>1531000</v>
      </c>
      <c r="N754" s="20">
        <v>1303200</v>
      </c>
      <c r="O754" s="20">
        <f t="shared" si="35"/>
        <v>227800</v>
      </c>
      <c r="P754" t="s">
        <v>31</v>
      </c>
    </row>
    <row r="755" spans="1:16">
      <c r="A755" t="s">
        <v>835</v>
      </c>
      <c r="B755" s="18">
        <v>46195</v>
      </c>
      <c r="C755" s="19">
        <f t="shared" si="33"/>
        <v>2026</v>
      </c>
      <c r="D755" s="19" t="str">
        <f t="shared" si="34"/>
        <v>Jun</v>
      </c>
      <c r="E755" t="s">
        <v>17</v>
      </c>
      <c r="F755" t="s">
        <v>18</v>
      </c>
      <c r="G755" t="s">
        <v>19</v>
      </c>
      <c r="H755" t="s">
        <v>74</v>
      </c>
      <c r="I755" t="s">
        <v>63</v>
      </c>
      <c r="J755" t="s">
        <v>41</v>
      </c>
      <c r="K755" t="s">
        <v>58</v>
      </c>
      <c r="L755" s="19">
        <v>1</v>
      </c>
      <c r="M755" s="20">
        <v>1314000</v>
      </c>
      <c r="N755" s="20">
        <v>1074700</v>
      </c>
      <c r="O755" s="20">
        <f t="shared" si="35"/>
        <v>239300</v>
      </c>
      <c r="P755" t="s">
        <v>54</v>
      </c>
    </row>
    <row r="756" spans="1:16">
      <c r="A756" t="s">
        <v>836</v>
      </c>
      <c r="B756" s="18">
        <v>46195</v>
      </c>
      <c r="C756" s="19">
        <f t="shared" si="33"/>
        <v>2026</v>
      </c>
      <c r="D756" s="19" t="str">
        <f t="shared" si="34"/>
        <v>Jun</v>
      </c>
      <c r="E756" t="s">
        <v>26</v>
      </c>
      <c r="F756" t="s">
        <v>131</v>
      </c>
      <c r="G756" t="s">
        <v>132</v>
      </c>
      <c r="H756" t="s">
        <v>133</v>
      </c>
      <c r="I756" t="s">
        <v>40</v>
      </c>
      <c r="J756" t="s">
        <v>41</v>
      </c>
      <c r="K756" t="s">
        <v>42</v>
      </c>
      <c r="L756" s="19">
        <v>1</v>
      </c>
      <c r="M756" s="20">
        <v>1662000</v>
      </c>
      <c r="N756" s="20">
        <v>1446300</v>
      </c>
      <c r="O756" s="20">
        <f t="shared" si="35"/>
        <v>215700</v>
      </c>
      <c r="P756" t="s">
        <v>78</v>
      </c>
    </row>
    <row r="757" spans="1:16">
      <c r="A757" t="s">
        <v>837</v>
      </c>
      <c r="B757" s="18">
        <v>46196</v>
      </c>
      <c r="C757" s="19">
        <f t="shared" si="33"/>
        <v>2026</v>
      </c>
      <c r="D757" s="19" t="str">
        <f t="shared" si="34"/>
        <v>Jun</v>
      </c>
      <c r="E757" t="s">
        <v>17</v>
      </c>
      <c r="F757" t="s">
        <v>18</v>
      </c>
      <c r="G757" t="s">
        <v>60</v>
      </c>
      <c r="H757" t="s">
        <v>61</v>
      </c>
      <c r="I757" t="s">
        <v>40</v>
      </c>
      <c r="J757" t="s">
        <v>41</v>
      </c>
      <c r="K757" t="s">
        <v>42</v>
      </c>
      <c r="L757" s="19">
        <v>1</v>
      </c>
      <c r="M757" s="20">
        <v>1703000</v>
      </c>
      <c r="N757" s="20">
        <v>1444300</v>
      </c>
      <c r="O757" s="20">
        <f t="shared" si="35"/>
        <v>258700</v>
      </c>
      <c r="P757" t="s">
        <v>31</v>
      </c>
    </row>
    <row r="758" spans="1:16">
      <c r="A758" t="s">
        <v>838</v>
      </c>
      <c r="B758" s="18">
        <v>46196</v>
      </c>
      <c r="C758" s="19">
        <f t="shared" si="33"/>
        <v>2026</v>
      </c>
      <c r="D758" s="19" t="str">
        <f t="shared" si="34"/>
        <v>Jun</v>
      </c>
      <c r="E758" t="s">
        <v>26</v>
      </c>
      <c r="F758" t="s">
        <v>27</v>
      </c>
      <c r="G758" t="s">
        <v>28</v>
      </c>
      <c r="H758" t="s">
        <v>29</v>
      </c>
      <c r="I758" t="s">
        <v>56</v>
      </c>
      <c r="J758" t="s">
        <v>57</v>
      </c>
      <c r="K758" t="s">
        <v>58</v>
      </c>
      <c r="L758" s="19">
        <v>1</v>
      </c>
      <c r="M758" s="20">
        <v>1226000</v>
      </c>
      <c r="N758" s="20">
        <v>1069900</v>
      </c>
      <c r="O758" s="20">
        <f t="shared" si="35"/>
        <v>156100</v>
      </c>
      <c r="P758" t="s">
        <v>31</v>
      </c>
    </row>
    <row r="759" spans="1:16">
      <c r="A759" t="s">
        <v>839</v>
      </c>
      <c r="B759" s="18">
        <v>46196</v>
      </c>
      <c r="C759" s="19">
        <f t="shared" si="33"/>
        <v>2026</v>
      </c>
      <c r="D759" s="19" t="str">
        <f t="shared" si="34"/>
        <v>Jun</v>
      </c>
      <c r="E759" t="s">
        <v>26</v>
      </c>
      <c r="F759" t="s">
        <v>27</v>
      </c>
      <c r="G759" t="s">
        <v>28</v>
      </c>
      <c r="H759" t="s">
        <v>39</v>
      </c>
      <c r="I759" t="s">
        <v>21</v>
      </c>
      <c r="J759" t="s">
        <v>22</v>
      </c>
      <c r="K759" t="s">
        <v>23</v>
      </c>
      <c r="L759" s="19">
        <v>1</v>
      </c>
      <c r="M759" s="20">
        <v>1838000</v>
      </c>
      <c r="N759" s="20">
        <v>1512300</v>
      </c>
      <c r="O759" s="20">
        <f t="shared" si="35"/>
        <v>325700</v>
      </c>
      <c r="P759" t="s">
        <v>37</v>
      </c>
    </row>
    <row r="760" spans="1:16">
      <c r="A760" t="s">
        <v>840</v>
      </c>
      <c r="B760" s="18">
        <v>46197</v>
      </c>
      <c r="C760" s="19">
        <f t="shared" si="33"/>
        <v>2026</v>
      </c>
      <c r="D760" s="19" t="str">
        <f t="shared" si="34"/>
        <v>Jun</v>
      </c>
      <c r="E760" t="s">
        <v>17</v>
      </c>
      <c r="F760" t="s">
        <v>18</v>
      </c>
      <c r="G760" t="s">
        <v>60</v>
      </c>
      <c r="H760" t="s">
        <v>61</v>
      </c>
      <c r="I760" t="s">
        <v>63</v>
      </c>
      <c r="J760" t="s">
        <v>41</v>
      </c>
      <c r="K760" t="s">
        <v>58</v>
      </c>
      <c r="L760" s="19">
        <v>1</v>
      </c>
      <c r="M760" s="20">
        <v>1317000</v>
      </c>
      <c r="N760" s="20">
        <v>1117100</v>
      </c>
      <c r="O760" s="20">
        <f t="shared" si="35"/>
        <v>199900</v>
      </c>
      <c r="P760" t="s">
        <v>72</v>
      </c>
    </row>
    <row r="761" spans="1:16">
      <c r="A761" t="s">
        <v>841</v>
      </c>
      <c r="B761" s="18">
        <v>46197</v>
      </c>
      <c r="C761" s="19">
        <f t="shared" si="33"/>
        <v>2026</v>
      </c>
      <c r="D761" s="19" t="str">
        <f t="shared" si="34"/>
        <v>Jun</v>
      </c>
      <c r="E761" t="s">
        <v>17</v>
      </c>
      <c r="F761" t="s">
        <v>18</v>
      </c>
      <c r="G761" t="s">
        <v>19</v>
      </c>
      <c r="H761" t="s">
        <v>20</v>
      </c>
      <c r="I761" t="s">
        <v>48</v>
      </c>
      <c r="J761" t="s">
        <v>49</v>
      </c>
      <c r="K761" t="s">
        <v>42</v>
      </c>
      <c r="L761" s="19">
        <v>1</v>
      </c>
      <c r="M761" s="20">
        <v>1233000</v>
      </c>
      <c r="N761" s="20">
        <v>1041400</v>
      </c>
      <c r="O761" s="20">
        <f t="shared" si="35"/>
        <v>191600</v>
      </c>
      <c r="P761" t="s">
        <v>78</v>
      </c>
    </row>
    <row r="762" spans="1:16">
      <c r="A762" t="s">
        <v>842</v>
      </c>
      <c r="B762" s="18">
        <v>46198</v>
      </c>
      <c r="C762" s="19">
        <f t="shared" si="33"/>
        <v>2026</v>
      </c>
      <c r="D762" s="19" t="str">
        <f t="shared" si="34"/>
        <v>Jun</v>
      </c>
      <c r="E762" t="s">
        <v>17</v>
      </c>
      <c r="F762" t="s">
        <v>18</v>
      </c>
      <c r="G762" t="s">
        <v>19</v>
      </c>
      <c r="H762" t="s">
        <v>74</v>
      </c>
      <c r="I762" t="s">
        <v>21</v>
      </c>
      <c r="J762" t="s">
        <v>22</v>
      </c>
      <c r="K762" t="s">
        <v>23</v>
      </c>
      <c r="L762" s="19">
        <v>1</v>
      </c>
      <c r="M762" s="20">
        <v>1921000</v>
      </c>
      <c r="N762" s="20">
        <v>1668500</v>
      </c>
      <c r="O762" s="20">
        <f t="shared" si="35"/>
        <v>252500</v>
      </c>
      <c r="P762" t="s">
        <v>37</v>
      </c>
    </row>
    <row r="763" spans="1:16">
      <c r="A763" t="s">
        <v>843</v>
      </c>
      <c r="B763" s="18">
        <v>46198</v>
      </c>
      <c r="C763" s="19">
        <f t="shared" si="33"/>
        <v>2026</v>
      </c>
      <c r="D763" s="19" t="str">
        <f t="shared" si="34"/>
        <v>Jun</v>
      </c>
      <c r="E763" t="s">
        <v>26</v>
      </c>
      <c r="F763" t="s">
        <v>27</v>
      </c>
      <c r="G763" t="s">
        <v>28</v>
      </c>
      <c r="H763" t="s">
        <v>39</v>
      </c>
      <c r="I763" t="s">
        <v>56</v>
      </c>
      <c r="J763" t="s">
        <v>57</v>
      </c>
      <c r="K763" t="s">
        <v>58</v>
      </c>
      <c r="L763" s="19">
        <v>1</v>
      </c>
      <c r="M763" s="20">
        <v>1223000</v>
      </c>
      <c r="N763" s="20">
        <v>1054200</v>
      </c>
      <c r="O763" s="20">
        <f t="shared" si="35"/>
        <v>168800</v>
      </c>
      <c r="P763" t="s">
        <v>24</v>
      </c>
    </row>
    <row r="764" spans="1:16">
      <c r="A764" t="s">
        <v>844</v>
      </c>
      <c r="B764" s="18">
        <v>46198</v>
      </c>
      <c r="C764" s="19">
        <f t="shared" si="33"/>
        <v>2026</v>
      </c>
      <c r="D764" s="19" t="str">
        <f t="shared" si="34"/>
        <v>Jun</v>
      </c>
      <c r="E764" t="s">
        <v>33</v>
      </c>
      <c r="F764" t="s">
        <v>34</v>
      </c>
      <c r="G764" t="s">
        <v>34</v>
      </c>
      <c r="H764" t="s">
        <v>35</v>
      </c>
      <c r="I764" t="s">
        <v>68</v>
      </c>
      <c r="J764" t="s">
        <v>49</v>
      </c>
      <c r="K764" t="s">
        <v>58</v>
      </c>
      <c r="L764" s="19">
        <v>1</v>
      </c>
      <c r="M764" s="20">
        <v>894000</v>
      </c>
      <c r="N764" s="20">
        <v>774200</v>
      </c>
      <c r="O764" s="20">
        <f t="shared" si="35"/>
        <v>119800</v>
      </c>
      <c r="P764" t="s">
        <v>24</v>
      </c>
    </row>
    <row r="765" spans="1:16">
      <c r="A765" t="s">
        <v>845</v>
      </c>
      <c r="B765" s="18">
        <v>46200</v>
      </c>
      <c r="C765" s="19">
        <f t="shared" si="33"/>
        <v>2026</v>
      </c>
      <c r="D765" s="19" t="str">
        <f t="shared" si="34"/>
        <v>Jun</v>
      </c>
      <c r="E765" t="s">
        <v>26</v>
      </c>
      <c r="F765" t="s">
        <v>131</v>
      </c>
      <c r="G765" t="s">
        <v>132</v>
      </c>
      <c r="H765" t="s">
        <v>133</v>
      </c>
      <c r="I765" t="s">
        <v>68</v>
      </c>
      <c r="J765" t="s">
        <v>49</v>
      </c>
      <c r="K765" t="s">
        <v>58</v>
      </c>
      <c r="L765" s="19">
        <v>1</v>
      </c>
      <c r="M765" s="20">
        <v>943000</v>
      </c>
      <c r="N765" s="20">
        <v>811500</v>
      </c>
      <c r="O765" s="20">
        <f t="shared" si="35"/>
        <v>131500</v>
      </c>
      <c r="P765" t="s">
        <v>31</v>
      </c>
    </row>
    <row r="766" spans="1:16">
      <c r="A766" t="s">
        <v>846</v>
      </c>
      <c r="B766" s="18">
        <v>46200</v>
      </c>
      <c r="C766" s="19">
        <f t="shared" si="33"/>
        <v>2026</v>
      </c>
      <c r="D766" s="19" t="str">
        <f t="shared" si="34"/>
        <v>Jun</v>
      </c>
      <c r="E766" t="s">
        <v>44</v>
      </c>
      <c r="F766" t="s">
        <v>118</v>
      </c>
      <c r="G766" t="s">
        <v>119</v>
      </c>
      <c r="H766" t="s">
        <v>120</v>
      </c>
      <c r="I766" t="s">
        <v>121</v>
      </c>
      <c r="J766" t="s">
        <v>57</v>
      </c>
      <c r="K766" t="s">
        <v>42</v>
      </c>
      <c r="L766" s="19">
        <v>1</v>
      </c>
      <c r="M766" s="20">
        <v>1557000</v>
      </c>
      <c r="N766" s="20">
        <v>1279800</v>
      </c>
      <c r="O766" s="20">
        <f t="shared" si="35"/>
        <v>277200</v>
      </c>
      <c r="P766" t="s">
        <v>54</v>
      </c>
    </row>
    <row r="767" spans="1:16">
      <c r="A767" t="s">
        <v>847</v>
      </c>
      <c r="B767" s="18">
        <v>46201</v>
      </c>
      <c r="C767" s="19">
        <f t="shared" si="33"/>
        <v>2026</v>
      </c>
      <c r="D767" s="19" t="str">
        <f t="shared" si="34"/>
        <v>Jun</v>
      </c>
      <c r="E767" t="s">
        <v>17</v>
      </c>
      <c r="F767" t="s">
        <v>18</v>
      </c>
      <c r="G767" t="s">
        <v>60</v>
      </c>
      <c r="H767" t="s">
        <v>61</v>
      </c>
      <c r="I767" t="s">
        <v>56</v>
      </c>
      <c r="J767" t="s">
        <v>57</v>
      </c>
      <c r="K767" t="s">
        <v>58</v>
      </c>
      <c r="L767" s="19">
        <v>1</v>
      </c>
      <c r="M767" s="20">
        <v>1250000</v>
      </c>
      <c r="N767" s="20">
        <v>1081300</v>
      </c>
      <c r="O767" s="20">
        <f t="shared" si="35"/>
        <v>168700</v>
      </c>
      <c r="P767" t="s">
        <v>31</v>
      </c>
    </row>
    <row r="768" spans="1:16">
      <c r="A768" t="s">
        <v>848</v>
      </c>
      <c r="B768" s="18">
        <v>46201</v>
      </c>
      <c r="C768" s="19">
        <f t="shared" si="33"/>
        <v>2026</v>
      </c>
      <c r="D768" s="19" t="str">
        <f t="shared" si="34"/>
        <v>Jun</v>
      </c>
      <c r="E768" t="s">
        <v>17</v>
      </c>
      <c r="F768" t="s">
        <v>18</v>
      </c>
      <c r="G768" t="s">
        <v>19</v>
      </c>
      <c r="H768" t="s">
        <v>20</v>
      </c>
      <c r="I768" t="s">
        <v>48</v>
      </c>
      <c r="J768" t="s">
        <v>49</v>
      </c>
      <c r="K768" t="s">
        <v>42</v>
      </c>
      <c r="L768" s="19">
        <v>1</v>
      </c>
      <c r="M768" s="20">
        <v>1245000</v>
      </c>
      <c r="N768" s="20">
        <v>1038300</v>
      </c>
      <c r="O768" s="20">
        <f t="shared" si="35"/>
        <v>206700</v>
      </c>
      <c r="P768" t="s">
        <v>72</v>
      </c>
    </row>
    <row r="769" spans="1:16">
      <c r="A769" t="s">
        <v>849</v>
      </c>
      <c r="B769" s="18">
        <v>46203</v>
      </c>
      <c r="C769" s="19">
        <f t="shared" si="33"/>
        <v>2026</v>
      </c>
      <c r="D769" s="19" t="str">
        <f t="shared" si="34"/>
        <v>Jun</v>
      </c>
      <c r="E769" t="s">
        <v>17</v>
      </c>
      <c r="F769" t="s">
        <v>18</v>
      </c>
      <c r="G769" t="s">
        <v>60</v>
      </c>
      <c r="H769" t="s">
        <v>61</v>
      </c>
      <c r="I769" t="s">
        <v>63</v>
      </c>
      <c r="J769" t="s">
        <v>41</v>
      </c>
      <c r="K769" t="s">
        <v>58</v>
      </c>
      <c r="L769" s="19">
        <v>1</v>
      </c>
      <c r="M769" s="20">
        <v>1396000</v>
      </c>
      <c r="N769" s="20">
        <v>1194900</v>
      </c>
      <c r="O769" s="20">
        <f t="shared" si="35"/>
        <v>201100</v>
      </c>
      <c r="P769" t="s">
        <v>24</v>
      </c>
    </row>
    <row r="770" spans="1:16">
      <c r="A770" t="s">
        <v>850</v>
      </c>
      <c r="B770" s="18">
        <v>46204</v>
      </c>
      <c r="C770" s="19">
        <f t="shared" ref="C770:C833" si="36">YEAR(B770)</f>
        <v>2026</v>
      </c>
      <c r="D770" s="19" t="str">
        <f t="shared" ref="D770:D833" si="37">CHOOSE(MONTH(B770),"Jan","Feb","Mar","Apr","May","Jun","Jul","Aug","Sep","Oct","Nov","Dec")</f>
        <v>Jul</v>
      </c>
      <c r="E770" t="s">
        <v>26</v>
      </c>
      <c r="F770" t="s">
        <v>65</v>
      </c>
      <c r="G770" t="s">
        <v>66</v>
      </c>
      <c r="H770" t="s">
        <v>67</v>
      </c>
      <c r="I770" t="s">
        <v>68</v>
      </c>
      <c r="J770" t="s">
        <v>49</v>
      </c>
      <c r="K770" t="s">
        <v>58</v>
      </c>
      <c r="L770" s="19">
        <v>1</v>
      </c>
      <c r="M770" s="20">
        <v>894000</v>
      </c>
      <c r="N770" s="20">
        <v>775100</v>
      </c>
      <c r="O770" s="20">
        <f t="shared" ref="O770:O833" si="38">M770-N770</f>
        <v>118900</v>
      </c>
      <c r="P770" t="s">
        <v>31</v>
      </c>
    </row>
    <row r="771" spans="1:16">
      <c r="A771" t="s">
        <v>851</v>
      </c>
      <c r="B771" s="18">
        <v>46205</v>
      </c>
      <c r="C771" s="19">
        <f t="shared" si="36"/>
        <v>2026</v>
      </c>
      <c r="D771" s="19" t="str">
        <f t="shared" si="37"/>
        <v>Jul</v>
      </c>
      <c r="E771" t="s">
        <v>33</v>
      </c>
      <c r="F771" t="s">
        <v>92</v>
      </c>
      <c r="G771" t="s">
        <v>93</v>
      </c>
      <c r="H771" t="s">
        <v>94</v>
      </c>
      <c r="I771" t="s">
        <v>63</v>
      </c>
      <c r="J771" t="s">
        <v>41</v>
      </c>
      <c r="K771" t="s">
        <v>58</v>
      </c>
      <c r="L771" s="19">
        <v>2</v>
      </c>
      <c r="M771" s="20">
        <v>2634000</v>
      </c>
      <c r="N771" s="20">
        <v>2259300</v>
      </c>
      <c r="O771" s="20">
        <f t="shared" si="38"/>
        <v>374700</v>
      </c>
      <c r="P771" t="s">
        <v>31</v>
      </c>
    </row>
    <row r="772" spans="1:16">
      <c r="A772" t="s">
        <v>852</v>
      </c>
      <c r="B772" s="18">
        <v>46205</v>
      </c>
      <c r="C772" s="19">
        <f t="shared" si="36"/>
        <v>2026</v>
      </c>
      <c r="D772" s="19" t="str">
        <f t="shared" si="37"/>
        <v>Jul</v>
      </c>
      <c r="E772" t="s">
        <v>44</v>
      </c>
      <c r="F772" t="s">
        <v>45</v>
      </c>
      <c r="G772" t="s">
        <v>46</v>
      </c>
      <c r="H772" t="s">
        <v>47</v>
      </c>
      <c r="I772" t="s">
        <v>48</v>
      </c>
      <c r="J772" t="s">
        <v>49</v>
      </c>
      <c r="K772" t="s">
        <v>42</v>
      </c>
      <c r="L772" s="19">
        <v>1</v>
      </c>
      <c r="M772" s="20">
        <v>1260000</v>
      </c>
      <c r="N772" s="20">
        <v>1096900</v>
      </c>
      <c r="O772" s="20">
        <f t="shared" si="38"/>
        <v>163100</v>
      </c>
      <c r="P772" t="s">
        <v>78</v>
      </c>
    </row>
    <row r="773" spans="1:16">
      <c r="A773" t="s">
        <v>853</v>
      </c>
      <c r="B773" s="18">
        <v>46205</v>
      </c>
      <c r="C773" s="19">
        <f t="shared" si="36"/>
        <v>2026</v>
      </c>
      <c r="D773" s="19" t="str">
        <f t="shared" si="37"/>
        <v>Jul</v>
      </c>
      <c r="E773" t="s">
        <v>33</v>
      </c>
      <c r="F773" t="s">
        <v>81</v>
      </c>
      <c r="G773" t="s">
        <v>82</v>
      </c>
      <c r="H773" t="s">
        <v>83</v>
      </c>
      <c r="I773" t="s">
        <v>63</v>
      </c>
      <c r="J773" t="s">
        <v>41</v>
      </c>
      <c r="K773" t="s">
        <v>58</v>
      </c>
      <c r="L773" s="19">
        <v>1</v>
      </c>
      <c r="M773" s="20">
        <v>1349000</v>
      </c>
      <c r="N773" s="20">
        <v>1135500</v>
      </c>
      <c r="O773" s="20">
        <f t="shared" si="38"/>
        <v>213500</v>
      </c>
      <c r="P773" t="s">
        <v>31</v>
      </c>
    </row>
    <row r="774" spans="1:16">
      <c r="A774" t="s">
        <v>854</v>
      </c>
      <c r="B774" s="18">
        <v>46206</v>
      </c>
      <c r="C774" s="19">
        <f t="shared" si="36"/>
        <v>2026</v>
      </c>
      <c r="D774" s="19" t="str">
        <f t="shared" si="37"/>
        <v>Jul</v>
      </c>
      <c r="E774" t="s">
        <v>17</v>
      </c>
      <c r="F774" t="s">
        <v>51</v>
      </c>
      <c r="G774" t="s">
        <v>98</v>
      </c>
      <c r="H774" t="s">
        <v>99</v>
      </c>
      <c r="I774" t="s">
        <v>63</v>
      </c>
      <c r="J774" t="s">
        <v>41</v>
      </c>
      <c r="K774" t="s">
        <v>58</v>
      </c>
      <c r="L774" s="19">
        <v>1</v>
      </c>
      <c r="M774" s="20">
        <v>1314000</v>
      </c>
      <c r="N774" s="20">
        <v>1053500</v>
      </c>
      <c r="O774" s="20">
        <f t="shared" si="38"/>
        <v>260500</v>
      </c>
      <c r="P774" t="s">
        <v>37</v>
      </c>
    </row>
    <row r="775" spans="1:16">
      <c r="A775" t="s">
        <v>855</v>
      </c>
      <c r="B775" s="18">
        <v>46207</v>
      </c>
      <c r="C775" s="19">
        <f t="shared" si="36"/>
        <v>2026</v>
      </c>
      <c r="D775" s="19" t="str">
        <f t="shared" si="37"/>
        <v>Jul</v>
      </c>
      <c r="E775" t="s">
        <v>26</v>
      </c>
      <c r="F775" t="s">
        <v>131</v>
      </c>
      <c r="G775" t="s">
        <v>132</v>
      </c>
      <c r="H775" t="s">
        <v>133</v>
      </c>
      <c r="I775" t="s">
        <v>71</v>
      </c>
      <c r="J775" t="s">
        <v>49</v>
      </c>
      <c r="K775" t="s">
        <v>58</v>
      </c>
      <c r="L775" s="19">
        <v>1</v>
      </c>
      <c r="M775" s="20">
        <v>971000</v>
      </c>
      <c r="N775" s="20">
        <v>822000</v>
      </c>
      <c r="O775" s="20">
        <f t="shared" si="38"/>
        <v>149000</v>
      </c>
      <c r="P775" t="s">
        <v>72</v>
      </c>
    </row>
    <row r="776" spans="1:16">
      <c r="A776" t="s">
        <v>856</v>
      </c>
      <c r="B776" s="18">
        <v>46207</v>
      </c>
      <c r="C776" s="19">
        <f t="shared" si="36"/>
        <v>2026</v>
      </c>
      <c r="D776" s="19" t="str">
        <f t="shared" si="37"/>
        <v>Jul</v>
      </c>
      <c r="E776" t="s">
        <v>17</v>
      </c>
      <c r="F776" t="s">
        <v>51</v>
      </c>
      <c r="G776" t="s">
        <v>52</v>
      </c>
      <c r="H776" t="s">
        <v>53</v>
      </c>
      <c r="I776" t="s">
        <v>40</v>
      </c>
      <c r="J776" t="s">
        <v>41</v>
      </c>
      <c r="K776" t="s">
        <v>42</v>
      </c>
      <c r="L776" s="19">
        <v>1</v>
      </c>
      <c r="M776" s="20">
        <v>1706000</v>
      </c>
      <c r="N776" s="20">
        <v>1417300</v>
      </c>
      <c r="O776" s="20">
        <f t="shared" si="38"/>
        <v>288700</v>
      </c>
      <c r="P776" t="s">
        <v>54</v>
      </c>
    </row>
    <row r="777" spans="1:16">
      <c r="A777" t="s">
        <v>857</v>
      </c>
      <c r="B777" s="18">
        <v>46208</v>
      </c>
      <c r="C777" s="19">
        <f t="shared" si="36"/>
        <v>2026</v>
      </c>
      <c r="D777" s="19" t="str">
        <f t="shared" si="37"/>
        <v>Jul</v>
      </c>
      <c r="E777" t="s">
        <v>26</v>
      </c>
      <c r="F777" t="s">
        <v>131</v>
      </c>
      <c r="G777" t="s">
        <v>132</v>
      </c>
      <c r="H777" t="s">
        <v>133</v>
      </c>
      <c r="I777" t="s">
        <v>56</v>
      </c>
      <c r="J777" t="s">
        <v>57</v>
      </c>
      <c r="K777" t="s">
        <v>58</v>
      </c>
      <c r="L777" s="19">
        <v>1</v>
      </c>
      <c r="M777" s="20">
        <v>1268000</v>
      </c>
      <c r="N777" s="20">
        <v>1025700</v>
      </c>
      <c r="O777" s="20">
        <f t="shared" si="38"/>
        <v>242300</v>
      </c>
      <c r="P777" t="s">
        <v>24</v>
      </c>
    </row>
    <row r="778" spans="1:16">
      <c r="A778" t="s">
        <v>858</v>
      </c>
      <c r="B778" s="18">
        <v>46209</v>
      </c>
      <c r="C778" s="19">
        <f t="shared" si="36"/>
        <v>2026</v>
      </c>
      <c r="D778" s="19" t="str">
        <f t="shared" si="37"/>
        <v>Jul</v>
      </c>
      <c r="E778" t="s">
        <v>17</v>
      </c>
      <c r="F778" t="s">
        <v>18</v>
      </c>
      <c r="G778" t="s">
        <v>19</v>
      </c>
      <c r="H778" t="s">
        <v>74</v>
      </c>
      <c r="I778" t="s">
        <v>121</v>
      </c>
      <c r="J778" t="s">
        <v>57</v>
      </c>
      <c r="K778" t="s">
        <v>42</v>
      </c>
      <c r="L778" s="19">
        <v>1</v>
      </c>
      <c r="M778" s="20">
        <v>1607000</v>
      </c>
      <c r="N778" s="20">
        <v>1366900</v>
      </c>
      <c r="O778" s="20">
        <f t="shared" si="38"/>
        <v>240100</v>
      </c>
      <c r="P778" t="s">
        <v>72</v>
      </c>
    </row>
    <row r="779" spans="1:16">
      <c r="A779" t="s">
        <v>859</v>
      </c>
      <c r="B779" s="18">
        <v>46210</v>
      </c>
      <c r="C779" s="19">
        <f t="shared" si="36"/>
        <v>2026</v>
      </c>
      <c r="D779" s="19" t="str">
        <f t="shared" si="37"/>
        <v>Jul</v>
      </c>
      <c r="E779" t="s">
        <v>17</v>
      </c>
      <c r="F779" t="s">
        <v>18</v>
      </c>
      <c r="G779" t="s">
        <v>19</v>
      </c>
      <c r="H779" t="s">
        <v>74</v>
      </c>
      <c r="I779" t="s">
        <v>48</v>
      </c>
      <c r="J779" t="s">
        <v>49</v>
      </c>
      <c r="K779" t="s">
        <v>42</v>
      </c>
      <c r="L779" s="19">
        <v>1</v>
      </c>
      <c r="M779" s="20">
        <v>1283000</v>
      </c>
      <c r="N779" s="20">
        <v>1122200</v>
      </c>
      <c r="O779" s="20">
        <f t="shared" si="38"/>
        <v>160800</v>
      </c>
      <c r="P779" t="s">
        <v>72</v>
      </c>
    </row>
    <row r="780" spans="1:16">
      <c r="A780" t="s">
        <v>860</v>
      </c>
      <c r="B780" s="18">
        <v>46210</v>
      </c>
      <c r="C780" s="19">
        <f t="shared" si="36"/>
        <v>2026</v>
      </c>
      <c r="D780" s="19" t="str">
        <f t="shared" si="37"/>
        <v>Jul</v>
      </c>
      <c r="E780" t="s">
        <v>17</v>
      </c>
      <c r="F780" t="s">
        <v>18</v>
      </c>
      <c r="G780" t="s">
        <v>19</v>
      </c>
      <c r="H780" t="s">
        <v>20</v>
      </c>
      <c r="I780" t="s">
        <v>40</v>
      </c>
      <c r="J780" t="s">
        <v>41</v>
      </c>
      <c r="K780" t="s">
        <v>42</v>
      </c>
      <c r="L780" s="19">
        <v>1</v>
      </c>
      <c r="M780" s="20">
        <v>1717000</v>
      </c>
      <c r="N780" s="20">
        <v>1433900</v>
      </c>
      <c r="O780" s="20">
        <f t="shared" si="38"/>
        <v>283100</v>
      </c>
      <c r="P780" t="s">
        <v>37</v>
      </c>
    </row>
    <row r="781" spans="1:16">
      <c r="A781" t="s">
        <v>861</v>
      </c>
      <c r="B781" s="18">
        <v>46210</v>
      </c>
      <c r="C781" s="19">
        <f t="shared" si="36"/>
        <v>2026</v>
      </c>
      <c r="D781" s="19" t="str">
        <f t="shared" si="37"/>
        <v>Jul</v>
      </c>
      <c r="E781" t="s">
        <v>44</v>
      </c>
      <c r="F781" t="s">
        <v>45</v>
      </c>
      <c r="G781" t="s">
        <v>46</v>
      </c>
      <c r="H781" t="s">
        <v>47</v>
      </c>
      <c r="I781" t="s">
        <v>71</v>
      </c>
      <c r="J781" t="s">
        <v>49</v>
      </c>
      <c r="K781" t="s">
        <v>58</v>
      </c>
      <c r="L781" s="19">
        <v>1</v>
      </c>
      <c r="M781" s="20">
        <v>1039000</v>
      </c>
      <c r="N781" s="20">
        <v>896700</v>
      </c>
      <c r="O781" s="20">
        <f t="shared" si="38"/>
        <v>142300</v>
      </c>
      <c r="P781" t="s">
        <v>78</v>
      </c>
    </row>
    <row r="782" spans="1:16">
      <c r="A782" t="s">
        <v>862</v>
      </c>
      <c r="B782" s="18">
        <v>46211</v>
      </c>
      <c r="C782" s="19">
        <f t="shared" si="36"/>
        <v>2026</v>
      </c>
      <c r="D782" s="19" t="str">
        <f t="shared" si="37"/>
        <v>Jul</v>
      </c>
      <c r="E782" t="s">
        <v>17</v>
      </c>
      <c r="F782" t="s">
        <v>51</v>
      </c>
      <c r="G782" t="s">
        <v>98</v>
      </c>
      <c r="H782" t="s">
        <v>99</v>
      </c>
      <c r="I782" t="s">
        <v>48</v>
      </c>
      <c r="J782" t="s">
        <v>49</v>
      </c>
      <c r="K782" t="s">
        <v>42</v>
      </c>
      <c r="L782" s="19">
        <v>1</v>
      </c>
      <c r="M782" s="20">
        <v>1277000</v>
      </c>
      <c r="N782" s="20">
        <v>1076900</v>
      </c>
      <c r="O782" s="20">
        <f t="shared" si="38"/>
        <v>200100</v>
      </c>
      <c r="P782" t="s">
        <v>31</v>
      </c>
    </row>
    <row r="783" spans="1:16">
      <c r="A783" t="s">
        <v>863</v>
      </c>
      <c r="B783" s="18">
        <v>46211</v>
      </c>
      <c r="C783" s="19">
        <f t="shared" si="36"/>
        <v>2026</v>
      </c>
      <c r="D783" s="19" t="str">
        <f t="shared" si="37"/>
        <v>Jul</v>
      </c>
      <c r="E783" t="s">
        <v>17</v>
      </c>
      <c r="F783" t="s">
        <v>18</v>
      </c>
      <c r="G783" t="s">
        <v>19</v>
      </c>
      <c r="H783" t="s">
        <v>74</v>
      </c>
      <c r="I783" t="s">
        <v>63</v>
      </c>
      <c r="J783" t="s">
        <v>41</v>
      </c>
      <c r="K783" t="s">
        <v>58</v>
      </c>
      <c r="L783" s="19">
        <v>1</v>
      </c>
      <c r="M783" s="20">
        <v>1386000</v>
      </c>
      <c r="N783" s="20">
        <v>1169700</v>
      </c>
      <c r="O783" s="20">
        <f t="shared" si="38"/>
        <v>216300</v>
      </c>
      <c r="P783" t="s">
        <v>24</v>
      </c>
    </row>
    <row r="784" spans="1:16">
      <c r="A784" t="s">
        <v>864</v>
      </c>
      <c r="B784" s="18">
        <v>46212</v>
      </c>
      <c r="C784" s="19">
        <f t="shared" si="36"/>
        <v>2026</v>
      </c>
      <c r="D784" s="19" t="str">
        <f t="shared" si="37"/>
        <v>Jul</v>
      </c>
      <c r="E784" t="s">
        <v>17</v>
      </c>
      <c r="F784" t="s">
        <v>51</v>
      </c>
      <c r="G784" t="s">
        <v>98</v>
      </c>
      <c r="H784" t="s">
        <v>99</v>
      </c>
      <c r="I784" t="s">
        <v>121</v>
      </c>
      <c r="J784" t="s">
        <v>57</v>
      </c>
      <c r="K784" t="s">
        <v>42</v>
      </c>
      <c r="L784" s="19">
        <v>1</v>
      </c>
      <c r="M784" s="20">
        <v>1579000</v>
      </c>
      <c r="N784" s="20">
        <v>1352700</v>
      </c>
      <c r="O784" s="20">
        <f t="shared" si="38"/>
        <v>226300</v>
      </c>
      <c r="P784" t="s">
        <v>24</v>
      </c>
    </row>
    <row r="785" spans="1:16">
      <c r="A785" t="s">
        <v>865</v>
      </c>
      <c r="B785" s="18">
        <v>46212</v>
      </c>
      <c r="C785" s="19">
        <f t="shared" si="36"/>
        <v>2026</v>
      </c>
      <c r="D785" s="19" t="str">
        <f t="shared" si="37"/>
        <v>Jul</v>
      </c>
      <c r="E785" t="s">
        <v>17</v>
      </c>
      <c r="F785" t="s">
        <v>18</v>
      </c>
      <c r="G785" t="s">
        <v>19</v>
      </c>
      <c r="H785" t="s">
        <v>74</v>
      </c>
      <c r="I785" t="s">
        <v>48</v>
      </c>
      <c r="J785" t="s">
        <v>49</v>
      </c>
      <c r="K785" t="s">
        <v>42</v>
      </c>
      <c r="L785" s="19">
        <v>2</v>
      </c>
      <c r="M785" s="20">
        <v>2388000</v>
      </c>
      <c r="N785" s="20">
        <v>1989500</v>
      </c>
      <c r="O785" s="20">
        <f t="shared" si="38"/>
        <v>398500</v>
      </c>
      <c r="P785" t="s">
        <v>24</v>
      </c>
    </row>
    <row r="786" spans="1:16">
      <c r="A786" t="s">
        <v>866</v>
      </c>
      <c r="B786" s="18">
        <v>46212</v>
      </c>
      <c r="C786" s="19">
        <f t="shared" si="36"/>
        <v>2026</v>
      </c>
      <c r="D786" s="19" t="str">
        <f t="shared" si="37"/>
        <v>Jul</v>
      </c>
      <c r="E786" t="s">
        <v>33</v>
      </c>
      <c r="F786" t="s">
        <v>92</v>
      </c>
      <c r="G786" t="s">
        <v>93</v>
      </c>
      <c r="H786" t="s">
        <v>94</v>
      </c>
      <c r="I786" t="s">
        <v>68</v>
      </c>
      <c r="J786" t="s">
        <v>49</v>
      </c>
      <c r="K786" t="s">
        <v>58</v>
      </c>
      <c r="L786" s="19">
        <v>1</v>
      </c>
      <c r="M786" s="20">
        <v>953000</v>
      </c>
      <c r="N786" s="20">
        <v>834100</v>
      </c>
      <c r="O786" s="20">
        <f t="shared" si="38"/>
        <v>118900</v>
      </c>
      <c r="P786" t="s">
        <v>24</v>
      </c>
    </row>
    <row r="787" spans="1:16">
      <c r="A787" t="s">
        <v>867</v>
      </c>
      <c r="B787" s="18">
        <v>46213</v>
      </c>
      <c r="C787" s="19">
        <f t="shared" si="36"/>
        <v>2026</v>
      </c>
      <c r="D787" s="19" t="str">
        <f t="shared" si="37"/>
        <v>Jul</v>
      </c>
      <c r="E787" t="s">
        <v>33</v>
      </c>
      <c r="F787" t="s">
        <v>34</v>
      </c>
      <c r="G787" t="s">
        <v>34</v>
      </c>
      <c r="H787" t="s">
        <v>102</v>
      </c>
      <c r="I787" t="s">
        <v>71</v>
      </c>
      <c r="J787" t="s">
        <v>49</v>
      </c>
      <c r="K787" t="s">
        <v>58</v>
      </c>
      <c r="L787" s="19">
        <v>1</v>
      </c>
      <c r="M787" s="20">
        <v>1045000</v>
      </c>
      <c r="N787" s="20">
        <v>842600</v>
      </c>
      <c r="O787" s="20">
        <f t="shared" si="38"/>
        <v>202400</v>
      </c>
      <c r="P787" t="s">
        <v>78</v>
      </c>
    </row>
    <row r="788" spans="1:16">
      <c r="A788" t="s">
        <v>868</v>
      </c>
      <c r="B788" s="18">
        <v>46213</v>
      </c>
      <c r="C788" s="19">
        <f t="shared" si="36"/>
        <v>2026</v>
      </c>
      <c r="D788" s="19" t="str">
        <f t="shared" si="37"/>
        <v>Jul</v>
      </c>
      <c r="E788" t="s">
        <v>33</v>
      </c>
      <c r="F788" t="s">
        <v>81</v>
      </c>
      <c r="G788" t="s">
        <v>82</v>
      </c>
      <c r="H788" t="s">
        <v>83</v>
      </c>
      <c r="I788" t="s">
        <v>30</v>
      </c>
      <c r="J788" t="s">
        <v>22</v>
      </c>
      <c r="K788" t="s">
        <v>23</v>
      </c>
      <c r="L788" s="19">
        <v>1</v>
      </c>
      <c r="M788" s="20">
        <v>1806000</v>
      </c>
      <c r="N788" s="20">
        <v>1527100</v>
      </c>
      <c r="O788" s="20">
        <f t="shared" si="38"/>
        <v>278900</v>
      </c>
      <c r="P788" t="s">
        <v>24</v>
      </c>
    </row>
    <row r="789" spans="1:16">
      <c r="A789" t="s">
        <v>869</v>
      </c>
      <c r="B789" s="18">
        <v>46213</v>
      </c>
      <c r="C789" s="19">
        <f t="shared" si="36"/>
        <v>2026</v>
      </c>
      <c r="D789" s="19" t="str">
        <f t="shared" si="37"/>
        <v>Jul</v>
      </c>
      <c r="E789" t="s">
        <v>33</v>
      </c>
      <c r="F789" t="s">
        <v>34</v>
      </c>
      <c r="G789" t="s">
        <v>34</v>
      </c>
      <c r="H789" t="s">
        <v>35</v>
      </c>
      <c r="I789" t="s">
        <v>68</v>
      </c>
      <c r="J789" t="s">
        <v>49</v>
      </c>
      <c r="K789" t="s">
        <v>58</v>
      </c>
      <c r="L789" s="19">
        <v>1</v>
      </c>
      <c r="M789" s="20">
        <v>936000</v>
      </c>
      <c r="N789" s="20">
        <v>785000</v>
      </c>
      <c r="O789" s="20">
        <f t="shared" si="38"/>
        <v>151000</v>
      </c>
      <c r="P789" t="s">
        <v>31</v>
      </c>
    </row>
    <row r="790" spans="1:16">
      <c r="A790" t="s">
        <v>870</v>
      </c>
      <c r="B790" s="18">
        <v>46215</v>
      </c>
      <c r="C790" s="19">
        <f t="shared" si="36"/>
        <v>2026</v>
      </c>
      <c r="D790" s="19" t="str">
        <f t="shared" si="37"/>
        <v>Jul</v>
      </c>
      <c r="E790" t="s">
        <v>17</v>
      </c>
      <c r="F790" t="s">
        <v>18</v>
      </c>
      <c r="G790" t="s">
        <v>19</v>
      </c>
      <c r="H790" t="s">
        <v>74</v>
      </c>
      <c r="I790" t="s">
        <v>48</v>
      </c>
      <c r="J790" t="s">
        <v>49</v>
      </c>
      <c r="K790" t="s">
        <v>42</v>
      </c>
      <c r="L790" s="19">
        <v>1</v>
      </c>
      <c r="M790" s="20">
        <v>1194000</v>
      </c>
      <c r="N790" s="20">
        <v>1049200</v>
      </c>
      <c r="O790" s="20">
        <f t="shared" si="38"/>
        <v>144800</v>
      </c>
      <c r="P790" t="s">
        <v>54</v>
      </c>
    </row>
    <row r="791" spans="1:16">
      <c r="A791" t="s">
        <v>871</v>
      </c>
      <c r="B791" s="18">
        <v>46215</v>
      </c>
      <c r="C791" s="19">
        <f t="shared" si="36"/>
        <v>2026</v>
      </c>
      <c r="D791" s="19" t="str">
        <f t="shared" si="37"/>
        <v>Jul</v>
      </c>
      <c r="E791" t="s">
        <v>17</v>
      </c>
      <c r="F791" t="s">
        <v>51</v>
      </c>
      <c r="G791" t="s">
        <v>52</v>
      </c>
      <c r="H791" t="s">
        <v>70</v>
      </c>
      <c r="I791" t="s">
        <v>171</v>
      </c>
      <c r="J791" t="s">
        <v>22</v>
      </c>
      <c r="K791" t="s">
        <v>42</v>
      </c>
      <c r="L791" s="19">
        <v>1</v>
      </c>
      <c r="M791" s="20">
        <v>6517000</v>
      </c>
      <c r="N791" s="20">
        <v>5217200</v>
      </c>
      <c r="O791" s="20">
        <f t="shared" si="38"/>
        <v>1299800</v>
      </c>
      <c r="P791" t="s">
        <v>24</v>
      </c>
    </row>
    <row r="792" spans="1:16">
      <c r="A792" t="s">
        <v>872</v>
      </c>
      <c r="B792" s="18">
        <v>46215</v>
      </c>
      <c r="C792" s="19">
        <f t="shared" si="36"/>
        <v>2026</v>
      </c>
      <c r="D792" s="19" t="str">
        <f t="shared" si="37"/>
        <v>Jul</v>
      </c>
      <c r="E792" t="s">
        <v>17</v>
      </c>
      <c r="F792" t="s">
        <v>18</v>
      </c>
      <c r="G792" t="s">
        <v>19</v>
      </c>
      <c r="H792" t="s">
        <v>74</v>
      </c>
      <c r="I792" t="s">
        <v>121</v>
      </c>
      <c r="J792" t="s">
        <v>57</v>
      </c>
      <c r="K792" t="s">
        <v>42</v>
      </c>
      <c r="L792" s="19">
        <v>1</v>
      </c>
      <c r="M792" s="20">
        <v>1637000</v>
      </c>
      <c r="N792" s="20">
        <v>1409500</v>
      </c>
      <c r="O792" s="20">
        <f t="shared" si="38"/>
        <v>227500</v>
      </c>
      <c r="P792" t="s">
        <v>31</v>
      </c>
    </row>
    <row r="793" spans="1:16">
      <c r="A793" t="s">
        <v>873</v>
      </c>
      <c r="B793" s="18">
        <v>46215</v>
      </c>
      <c r="C793" s="19">
        <f t="shared" si="36"/>
        <v>2026</v>
      </c>
      <c r="D793" s="19" t="str">
        <f t="shared" si="37"/>
        <v>Jul</v>
      </c>
      <c r="E793" t="s">
        <v>17</v>
      </c>
      <c r="F793" t="s">
        <v>51</v>
      </c>
      <c r="G793" t="s">
        <v>52</v>
      </c>
      <c r="H793" t="s">
        <v>53</v>
      </c>
      <c r="I793" t="s">
        <v>30</v>
      </c>
      <c r="J793" t="s">
        <v>22</v>
      </c>
      <c r="K793" t="s">
        <v>23</v>
      </c>
      <c r="L793" s="19">
        <v>1</v>
      </c>
      <c r="M793" s="20">
        <v>1721000</v>
      </c>
      <c r="N793" s="20">
        <v>1504600</v>
      </c>
      <c r="O793" s="20">
        <f t="shared" si="38"/>
        <v>216400</v>
      </c>
      <c r="P793" t="s">
        <v>31</v>
      </c>
    </row>
    <row r="794" spans="1:16">
      <c r="A794" t="s">
        <v>874</v>
      </c>
      <c r="B794" s="18">
        <v>46216</v>
      </c>
      <c r="C794" s="19">
        <f t="shared" si="36"/>
        <v>2026</v>
      </c>
      <c r="D794" s="19" t="str">
        <f t="shared" si="37"/>
        <v>Jul</v>
      </c>
      <c r="E794" t="s">
        <v>17</v>
      </c>
      <c r="F794" t="s">
        <v>18</v>
      </c>
      <c r="G794" t="s">
        <v>19</v>
      </c>
      <c r="H794" t="s">
        <v>74</v>
      </c>
      <c r="I794" t="s">
        <v>40</v>
      </c>
      <c r="J794" t="s">
        <v>41</v>
      </c>
      <c r="K794" t="s">
        <v>42</v>
      </c>
      <c r="L794" s="19">
        <v>1</v>
      </c>
      <c r="M794" s="20">
        <v>1730000</v>
      </c>
      <c r="N794" s="20">
        <v>1424000</v>
      </c>
      <c r="O794" s="20">
        <f t="shared" si="38"/>
        <v>306000</v>
      </c>
      <c r="P794" t="s">
        <v>54</v>
      </c>
    </row>
    <row r="795" spans="1:16">
      <c r="A795" t="s">
        <v>875</v>
      </c>
      <c r="B795" s="18">
        <v>46216</v>
      </c>
      <c r="C795" s="19">
        <f t="shared" si="36"/>
        <v>2026</v>
      </c>
      <c r="D795" s="19" t="str">
        <f t="shared" si="37"/>
        <v>Jul</v>
      </c>
      <c r="E795" t="s">
        <v>17</v>
      </c>
      <c r="F795" t="s">
        <v>51</v>
      </c>
      <c r="G795" t="s">
        <v>52</v>
      </c>
      <c r="H795" t="s">
        <v>53</v>
      </c>
      <c r="I795" t="s">
        <v>40</v>
      </c>
      <c r="J795" t="s">
        <v>41</v>
      </c>
      <c r="K795" t="s">
        <v>42</v>
      </c>
      <c r="L795" s="19">
        <v>1</v>
      </c>
      <c r="M795" s="20">
        <v>1754000</v>
      </c>
      <c r="N795" s="20">
        <v>1523200</v>
      </c>
      <c r="O795" s="20">
        <f t="shared" si="38"/>
        <v>230800</v>
      </c>
      <c r="P795" t="s">
        <v>37</v>
      </c>
    </row>
    <row r="796" spans="1:16">
      <c r="A796" t="s">
        <v>876</v>
      </c>
      <c r="B796" s="18">
        <v>46218</v>
      </c>
      <c r="C796" s="19">
        <f t="shared" si="36"/>
        <v>2026</v>
      </c>
      <c r="D796" s="19" t="str">
        <f t="shared" si="37"/>
        <v>Jul</v>
      </c>
      <c r="E796" t="s">
        <v>33</v>
      </c>
      <c r="F796" t="s">
        <v>92</v>
      </c>
      <c r="G796" t="s">
        <v>93</v>
      </c>
      <c r="H796" t="s">
        <v>94</v>
      </c>
      <c r="I796" t="s">
        <v>68</v>
      </c>
      <c r="J796" t="s">
        <v>49</v>
      </c>
      <c r="K796" t="s">
        <v>58</v>
      </c>
      <c r="L796" s="19">
        <v>1</v>
      </c>
      <c r="M796" s="20">
        <v>944000</v>
      </c>
      <c r="N796" s="20">
        <v>787200</v>
      </c>
      <c r="O796" s="20">
        <f t="shared" si="38"/>
        <v>156800</v>
      </c>
      <c r="P796" t="s">
        <v>54</v>
      </c>
    </row>
    <row r="797" spans="1:16">
      <c r="A797" t="s">
        <v>877</v>
      </c>
      <c r="B797" s="18">
        <v>46219</v>
      </c>
      <c r="C797" s="19">
        <f t="shared" si="36"/>
        <v>2026</v>
      </c>
      <c r="D797" s="19" t="str">
        <f t="shared" si="37"/>
        <v>Jul</v>
      </c>
      <c r="E797" t="s">
        <v>44</v>
      </c>
      <c r="F797" t="s">
        <v>45</v>
      </c>
      <c r="G797" t="s">
        <v>46</v>
      </c>
      <c r="H797" t="s">
        <v>47</v>
      </c>
      <c r="I797" t="s">
        <v>56</v>
      </c>
      <c r="J797" t="s">
        <v>57</v>
      </c>
      <c r="K797" t="s">
        <v>58</v>
      </c>
      <c r="L797" s="19">
        <v>1</v>
      </c>
      <c r="M797" s="20">
        <v>1225000</v>
      </c>
      <c r="N797" s="20">
        <v>1072600</v>
      </c>
      <c r="O797" s="20">
        <f t="shared" si="38"/>
        <v>152400</v>
      </c>
      <c r="P797" t="s">
        <v>37</v>
      </c>
    </row>
    <row r="798" spans="1:16">
      <c r="A798" t="s">
        <v>878</v>
      </c>
      <c r="B798" s="18">
        <v>46220</v>
      </c>
      <c r="C798" s="19">
        <f t="shared" si="36"/>
        <v>2026</v>
      </c>
      <c r="D798" s="19" t="str">
        <f t="shared" si="37"/>
        <v>Jul</v>
      </c>
      <c r="E798" t="s">
        <v>17</v>
      </c>
      <c r="F798" t="s">
        <v>51</v>
      </c>
      <c r="G798" t="s">
        <v>52</v>
      </c>
      <c r="H798" t="s">
        <v>53</v>
      </c>
      <c r="I798" t="s">
        <v>56</v>
      </c>
      <c r="J798" t="s">
        <v>57</v>
      </c>
      <c r="K798" t="s">
        <v>58</v>
      </c>
      <c r="L798" s="19">
        <v>1</v>
      </c>
      <c r="M798" s="20">
        <v>1204000</v>
      </c>
      <c r="N798" s="20">
        <v>1054700</v>
      </c>
      <c r="O798" s="20">
        <f t="shared" si="38"/>
        <v>149300</v>
      </c>
      <c r="P798" t="s">
        <v>72</v>
      </c>
    </row>
    <row r="799" spans="1:16">
      <c r="A799" t="s">
        <v>879</v>
      </c>
      <c r="B799" s="18">
        <v>46220</v>
      </c>
      <c r="C799" s="19">
        <f t="shared" si="36"/>
        <v>2026</v>
      </c>
      <c r="D799" s="19" t="str">
        <f t="shared" si="37"/>
        <v>Jul</v>
      </c>
      <c r="E799" t="s">
        <v>17</v>
      </c>
      <c r="F799" t="s">
        <v>18</v>
      </c>
      <c r="G799" t="s">
        <v>19</v>
      </c>
      <c r="H799" t="s">
        <v>74</v>
      </c>
      <c r="I799" t="s">
        <v>56</v>
      </c>
      <c r="J799" t="s">
        <v>57</v>
      </c>
      <c r="K799" t="s">
        <v>58</v>
      </c>
      <c r="L799" s="19">
        <v>1</v>
      </c>
      <c r="M799" s="20">
        <v>1214000</v>
      </c>
      <c r="N799" s="20">
        <v>978800</v>
      </c>
      <c r="O799" s="20">
        <f t="shared" si="38"/>
        <v>235200</v>
      </c>
      <c r="P799" t="s">
        <v>37</v>
      </c>
    </row>
    <row r="800" spans="1:16">
      <c r="A800" t="s">
        <v>880</v>
      </c>
      <c r="B800" s="18">
        <v>46220</v>
      </c>
      <c r="C800" s="19">
        <f t="shared" si="36"/>
        <v>2026</v>
      </c>
      <c r="D800" s="19" t="str">
        <f t="shared" si="37"/>
        <v>Jul</v>
      </c>
      <c r="E800" t="s">
        <v>26</v>
      </c>
      <c r="F800" t="s">
        <v>65</v>
      </c>
      <c r="G800" t="s">
        <v>66</v>
      </c>
      <c r="H800" t="s">
        <v>67</v>
      </c>
      <c r="I800" t="s">
        <v>121</v>
      </c>
      <c r="J800" t="s">
        <v>57</v>
      </c>
      <c r="K800" t="s">
        <v>42</v>
      </c>
      <c r="L800" s="19">
        <v>1</v>
      </c>
      <c r="M800" s="20">
        <v>1609000</v>
      </c>
      <c r="N800" s="20">
        <v>1322200</v>
      </c>
      <c r="O800" s="20">
        <f t="shared" si="38"/>
        <v>286800</v>
      </c>
      <c r="P800" t="s">
        <v>24</v>
      </c>
    </row>
    <row r="801" spans="1:16">
      <c r="A801" t="s">
        <v>881</v>
      </c>
      <c r="B801" s="18">
        <v>46220</v>
      </c>
      <c r="C801" s="19">
        <f t="shared" si="36"/>
        <v>2026</v>
      </c>
      <c r="D801" s="19" t="str">
        <f t="shared" si="37"/>
        <v>Jul</v>
      </c>
      <c r="E801" t="s">
        <v>33</v>
      </c>
      <c r="F801" t="s">
        <v>34</v>
      </c>
      <c r="G801" t="s">
        <v>34</v>
      </c>
      <c r="H801" t="s">
        <v>102</v>
      </c>
      <c r="I801" t="s">
        <v>30</v>
      </c>
      <c r="J801" t="s">
        <v>22</v>
      </c>
      <c r="K801" t="s">
        <v>23</v>
      </c>
      <c r="L801" s="19">
        <v>1</v>
      </c>
      <c r="M801" s="20">
        <v>1838000</v>
      </c>
      <c r="N801" s="20">
        <v>1514500</v>
      </c>
      <c r="O801" s="20">
        <f t="shared" si="38"/>
        <v>323500</v>
      </c>
      <c r="P801" t="s">
        <v>54</v>
      </c>
    </row>
    <row r="802" spans="1:16">
      <c r="A802" t="s">
        <v>882</v>
      </c>
      <c r="B802" s="18">
        <v>46220</v>
      </c>
      <c r="C802" s="19">
        <f t="shared" si="36"/>
        <v>2026</v>
      </c>
      <c r="D802" s="19" t="str">
        <f t="shared" si="37"/>
        <v>Jul</v>
      </c>
      <c r="E802" t="s">
        <v>17</v>
      </c>
      <c r="F802" t="s">
        <v>18</v>
      </c>
      <c r="G802" t="s">
        <v>19</v>
      </c>
      <c r="H802" t="s">
        <v>20</v>
      </c>
      <c r="I802" t="s">
        <v>48</v>
      </c>
      <c r="J802" t="s">
        <v>49</v>
      </c>
      <c r="K802" t="s">
        <v>42</v>
      </c>
      <c r="L802" s="19">
        <v>1</v>
      </c>
      <c r="M802" s="20">
        <v>1241000</v>
      </c>
      <c r="N802" s="20">
        <v>1017000</v>
      </c>
      <c r="O802" s="20">
        <f t="shared" si="38"/>
        <v>224000</v>
      </c>
      <c r="P802" t="s">
        <v>24</v>
      </c>
    </row>
    <row r="803" spans="1:16">
      <c r="A803" t="s">
        <v>883</v>
      </c>
      <c r="B803" s="18">
        <v>46221</v>
      </c>
      <c r="C803" s="19">
        <f t="shared" si="36"/>
        <v>2026</v>
      </c>
      <c r="D803" s="19" t="str">
        <f t="shared" si="37"/>
        <v>Jul</v>
      </c>
      <c r="E803" t="s">
        <v>17</v>
      </c>
      <c r="F803" t="s">
        <v>51</v>
      </c>
      <c r="G803" t="s">
        <v>52</v>
      </c>
      <c r="H803" t="s">
        <v>53</v>
      </c>
      <c r="I803" t="s">
        <v>63</v>
      </c>
      <c r="J803" t="s">
        <v>41</v>
      </c>
      <c r="K803" t="s">
        <v>58</v>
      </c>
      <c r="L803" s="19">
        <v>1</v>
      </c>
      <c r="M803" s="20">
        <v>1403000</v>
      </c>
      <c r="N803" s="20">
        <v>1144000</v>
      </c>
      <c r="O803" s="20">
        <f t="shared" si="38"/>
        <v>259000</v>
      </c>
      <c r="P803" t="s">
        <v>31</v>
      </c>
    </row>
    <row r="804" spans="1:16">
      <c r="A804" t="s">
        <v>884</v>
      </c>
      <c r="B804" s="18">
        <v>46222</v>
      </c>
      <c r="C804" s="19">
        <f t="shared" si="36"/>
        <v>2026</v>
      </c>
      <c r="D804" s="19" t="str">
        <f t="shared" si="37"/>
        <v>Jul</v>
      </c>
      <c r="E804" t="s">
        <v>26</v>
      </c>
      <c r="F804" t="s">
        <v>131</v>
      </c>
      <c r="G804" t="s">
        <v>132</v>
      </c>
      <c r="H804" t="s">
        <v>133</v>
      </c>
      <c r="I804" t="s">
        <v>121</v>
      </c>
      <c r="J804" t="s">
        <v>57</v>
      </c>
      <c r="K804" t="s">
        <v>42</v>
      </c>
      <c r="L804" s="19">
        <v>1</v>
      </c>
      <c r="M804" s="20">
        <v>1536000</v>
      </c>
      <c r="N804" s="20">
        <v>1287900</v>
      </c>
      <c r="O804" s="20">
        <f t="shared" si="38"/>
        <v>248100</v>
      </c>
      <c r="P804" t="s">
        <v>31</v>
      </c>
    </row>
    <row r="805" spans="1:16">
      <c r="A805" t="s">
        <v>885</v>
      </c>
      <c r="B805" s="18">
        <v>46222</v>
      </c>
      <c r="C805" s="19">
        <f t="shared" si="36"/>
        <v>2026</v>
      </c>
      <c r="D805" s="19" t="str">
        <f t="shared" si="37"/>
        <v>Jul</v>
      </c>
      <c r="E805" t="s">
        <v>33</v>
      </c>
      <c r="F805" t="s">
        <v>81</v>
      </c>
      <c r="G805" t="s">
        <v>82</v>
      </c>
      <c r="H805" t="s">
        <v>83</v>
      </c>
      <c r="I805" t="s">
        <v>84</v>
      </c>
      <c r="J805" t="s">
        <v>22</v>
      </c>
      <c r="K805" t="s">
        <v>23</v>
      </c>
      <c r="L805" s="19">
        <v>1</v>
      </c>
      <c r="M805" s="20">
        <v>6567000</v>
      </c>
      <c r="N805" s="20">
        <v>5760800</v>
      </c>
      <c r="O805" s="20">
        <f t="shared" si="38"/>
        <v>806200</v>
      </c>
      <c r="P805" t="s">
        <v>31</v>
      </c>
    </row>
    <row r="806" spans="1:16">
      <c r="A806" t="s">
        <v>886</v>
      </c>
      <c r="B806" s="18">
        <v>46222</v>
      </c>
      <c r="C806" s="19">
        <f t="shared" si="36"/>
        <v>2026</v>
      </c>
      <c r="D806" s="19" t="str">
        <f t="shared" si="37"/>
        <v>Jul</v>
      </c>
      <c r="E806" t="s">
        <v>17</v>
      </c>
      <c r="F806" t="s">
        <v>51</v>
      </c>
      <c r="G806" t="s">
        <v>98</v>
      </c>
      <c r="H806" t="s">
        <v>99</v>
      </c>
      <c r="I806" t="s">
        <v>71</v>
      </c>
      <c r="J806" t="s">
        <v>49</v>
      </c>
      <c r="K806" t="s">
        <v>58</v>
      </c>
      <c r="L806" s="19">
        <v>1</v>
      </c>
      <c r="M806" s="20">
        <v>979000</v>
      </c>
      <c r="N806" s="20">
        <v>843600</v>
      </c>
      <c r="O806" s="20">
        <f t="shared" si="38"/>
        <v>135400</v>
      </c>
      <c r="P806" t="s">
        <v>31</v>
      </c>
    </row>
    <row r="807" spans="1:16">
      <c r="A807" t="s">
        <v>887</v>
      </c>
      <c r="B807" s="18">
        <v>46223</v>
      </c>
      <c r="C807" s="19">
        <f t="shared" si="36"/>
        <v>2026</v>
      </c>
      <c r="D807" s="19" t="str">
        <f t="shared" si="37"/>
        <v>Jul</v>
      </c>
      <c r="E807" t="s">
        <v>17</v>
      </c>
      <c r="F807" t="s">
        <v>18</v>
      </c>
      <c r="G807" t="s">
        <v>19</v>
      </c>
      <c r="H807" t="s">
        <v>74</v>
      </c>
      <c r="I807" t="s">
        <v>71</v>
      </c>
      <c r="J807" t="s">
        <v>49</v>
      </c>
      <c r="K807" t="s">
        <v>58</v>
      </c>
      <c r="L807" s="19">
        <v>1</v>
      </c>
      <c r="M807" s="20">
        <v>1015000</v>
      </c>
      <c r="N807" s="20">
        <v>887600</v>
      </c>
      <c r="O807" s="20">
        <f t="shared" si="38"/>
        <v>127400</v>
      </c>
      <c r="P807" t="s">
        <v>31</v>
      </c>
    </row>
    <row r="808" spans="1:16">
      <c r="A808" t="s">
        <v>888</v>
      </c>
      <c r="B808" s="18">
        <v>46224</v>
      </c>
      <c r="C808" s="19">
        <f t="shared" si="36"/>
        <v>2026</v>
      </c>
      <c r="D808" s="19" t="str">
        <f t="shared" si="37"/>
        <v>Jul</v>
      </c>
      <c r="E808" t="s">
        <v>17</v>
      </c>
      <c r="F808" t="s">
        <v>51</v>
      </c>
      <c r="G808" t="s">
        <v>98</v>
      </c>
      <c r="H808" t="s">
        <v>99</v>
      </c>
      <c r="I808" t="s">
        <v>71</v>
      </c>
      <c r="J808" t="s">
        <v>49</v>
      </c>
      <c r="K808" t="s">
        <v>58</v>
      </c>
      <c r="L808" s="19">
        <v>1</v>
      </c>
      <c r="M808" s="20">
        <v>993000</v>
      </c>
      <c r="N808" s="20">
        <v>865100</v>
      </c>
      <c r="O808" s="20">
        <f t="shared" si="38"/>
        <v>127900</v>
      </c>
      <c r="P808" t="s">
        <v>78</v>
      </c>
    </row>
    <row r="809" spans="1:16">
      <c r="A809" t="s">
        <v>889</v>
      </c>
      <c r="B809" s="18">
        <v>46224</v>
      </c>
      <c r="C809" s="19">
        <f t="shared" si="36"/>
        <v>2026</v>
      </c>
      <c r="D809" s="19" t="str">
        <f t="shared" si="37"/>
        <v>Jul</v>
      </c>
      <c r="E809" t="s">
        <v>17</v>
      </c>
      <c r="F809" t="s">
        <v>18</v>
      </c>
      <c r="G809" t="s">
        <v>19</v>
      </c>
      <c r="H809" t="s">
        <v>20</v>
      </c>
      <c r="I809" t="s">
        <v>71</v>
      </c>
      <c r="J809" t="s">
        <v>49</v>
      </c>
      <c r="K809" t="s">
        <v>58</v>
      </c>
      <c r="L809" s="19">
        <v>2</v>
      </c>
      <c r="M809" s="20">
        <v>2090000</v>
      </c>
      <c r="N809" s="20">
        <v>1757200</v>
      </c>
      <c r="O809" s="20">
        <f t="shared" si="38"/>
        <v>332800</v>
      </c>
      <c r="P809" t="s">
        <v>31</v>
      </c>
    </row>
    <row r="810" spans="1:16">
      <c r="A810" t="s">
        <v>890</v>
      </c>
      <c r="B810" s="18">
        <v>46225</v>
      </c>
      <c r="C810" s="19">
        <f t="shared" si="36"/>
        <v>2026</v>
      </c>
      <c r="D810" s="19" t="str">
        <f t="shared" si="37"/>
        <v>Jul</v>
      </c>
      <c r="E810" t="s">
        <v>26</v>
      </c>
      <c r="F810" t="s">
        <v>65</v>
      </c>
      <c r="G810" t="s">
        <v>66</v>
      </c>
      <c r="H810" t="s">
        <v>67</v>
      </c>
      <c r="I810" t="s">
        <v>40</v>
      </c>
      <c r="J810" t="s">
        <v>41</v>
      </c>
      <c r="K810" t="s">
        <v>42</v>
      </c>
      <c r="L810" s="19">
        <v>1</v>
      </c>
      <c r="M810" s="20">
        <v>1725000</v>
      </c>
      <c r="N810" s="20">
        <v>1459500</v>
      </c>
      <c r="O810" s="20">
        <f t="shared" si="38"/>
        <v>265500</v>
      </c>
      <c r="P810" t="s">
        <v>24</v>
      </c>
    </row>
    <row r="811" spans="1:16">
      <c r="A811" t="s">
        <v>891</v>
      </c>
      <c r="B811" s="18">
        <v>46226</v>
      </c>
      <c r="C811" s="19">
        <f t="shared" si="36"/>
        <v>2026</v>
      </c>
      <c r="D811" s="19" t="str">
        <f t="shared" si="37"/>
        <v>Jul</v>
      </c>
      <c r="E811" t="s">
        <v>33</v>
      </c>
      <c r="F811" t="s">
        <v>34</v>
      </c>
      <c r="G811" t="s">
        <v>34</v>
      </c>
      <c r="H811" t="s">
        <v>35</v>
      </c>
      <c r="I811" t="s">
        <v>40</v>
      </c>
      <c r="J811" t="s">
        <v>41</v>
      </c>
      <c r="K811" t="s">
        <v>42</v>
      </c>
      <c r="L811" s="19">
        <v>1</v>
      </c>
      <c r="M811" s="20">
        <v>1742000</v>
      </c>
      <c r="N811" s="20">
        <v>1526600</v>
      </c>
      <c r="O811" s="20">
        <f t="shared" si="38"/>
        <v>215400</v>
      </c>
      <c r="P811" t="s">
        <v>24</v>
      </c>
    </row>
    <row r="812" spans="1:16">
      <c r="A812" t="s">
        <v>892</v>
      </c>
      <c r="B812" s="18">
        <v>46226</v>
      </c>
      <c r="C812" s="19">
        <f t="shared" si="36"/>
        <v>2026</v>
      </c>
      <c r="D812" s="19" t="str">
        <f t="shared" si="37"/>
        <v>Jul</v>
      </c>
      <c r="E812" t="s">
        <v>44</v>
      </c>
      <c r="F812" t="s">
        <v>45</v>
      </c>
      <c r="G812" t="s">
        <v>46</v>
      </c>
      <c r="H812" t="s">
        <v>47</v>
      </c>
      <c r="I812" t="s">
        <v>171</v>
      </c>
      <c r="J812" t="s">
        <v>22</v>
      </c>
      <c r="K812" t="s">
        <v>42</v>
      </c>
      <c r="L812" s="19">
        <v>1</v>
      </c>
      <c r="M812" s="20">
        <v>6378000</v>
      </c>
      <c r="N812" s="20">
        <v>5178500</v>
      </c>
      <c r="O812" s="20">
        <f t="shared" si="38"/>
        <v>1199500</v>
      </c>
      <c r="P812" t="s">
        <v>31</v>
      </c>
    </row>
    <row r="813" spans="1:16">
      <c r="A813" t="s">
        <v>893</v>
      </c>
      <c r="B813" s="18">
        <v>46228</v>
      </c>
      <c r="C813" s="19">
        <f t="shared" si="36"/>
        <v>2026</v>
      </c>
      <c r="D813" s="19" t="str">
        <f t="shared" si="37"/>
        <v>Jul</v>
      </c>
      <c r="E813" t="s">
        <v>26</v>
      </c>
      <c r="F813" t="s">
        <v>27</v>
      </c>
      <c r="G813" t="s">
        <v>28</v>
      </c>
      <c r="H813" t="s">
        <v>29</v>
      </c>
      <c r="I813" t="s">
        <v>56</v>
      </c>
      <c r="J813" t="s">
        <v>57</v>
      </c>
      <c r="K813" t="s">
        <v>58</v>
      </c>
      <c r="L813" s="19">
        <v>1</v>
      </c>
      <c r="M813" s="20">
        <v>1242000</v>
      </c>
      <c r="N813" s="20">
        <v>1091300</v>
      </c>
      <c r="O813" s="20">
        <f t="shared" si="38"/>
        <v>150700</v>
      </c>
      <c r="P813" t="s">
        <v>24</v>
      </c>
    </row>
    <row r="814" spans="1:16">
      <c r="A814" t="s">
        <v>894</v>
      </c>
      <c r="B814" s="18">
        <v>46228</v>
      </c>
      <c r="C814" s="19">
        <f t="shared" si="36"/>
        <v>2026</v>
      </c>
      <c r="D814" s="19" t="str">
        <f t="shared" si="37"/>
        <v>Jul</v>
      </c>
      <c r="E814" t="s">
        <v>26</v>
      </c>
      <c r="F814" t="s">
        <v>131</v>
      </c>
      <c r="G814" t="s">
        <v>132</v>
      </c>
      <c r="H814" t="s">
        <v>133</v>
      </c>
      <c r="I814" t="s">
        <v>71</v>
      </c>
      <c r="J814" t="s">
        <v>49</v>
      </c>
      <c r="K814" t="s">
        <v>58</v>
      </c>
      <c r="L814" s="19">
        <v>1</v>
      </c>
      <c r="M814" s="20">
        <v>1024000</v>
      </c>
      <c r="N814" s="20">
        <v>852400</v>
      </c>
      <c r="O814" s="20">
        <f t="shared" si="38"/>
        <v>171600</v>
      </c>
      <c r="P814" t="s">
        <v>31</v>
      </c>
    </row>
    <row r="815" spans="1:16">
      <c r="A815" t="s">
        <v>895</v>
      </c>
      <c r="B815" s="18">
        <v>46229</v>
      </c>
      <c r="C815" s="19">
        <f t="shared" si="36"/>
        <v>2026</v>
      </c>
      <c r="D815" s="19" t="str">
        <f t="shared" si="37"/>
        <v>Jul</v>
      </c>
      <c r="E815" t="s">
        <v>17</v>
      </c>
      <c r="F815" t="s">
        <v>18</v>
      </c>
      <c r="G815" t="s">
        <v>60</v>
      </c>
      <c r="H815" t="s">
        <v>61</v>
      </c>
      <c r="I815" t="s">
        <v>40</v>
      </c>
      <c r="J815" t="s">
        <v>41</v>
      </c>
      <c r="K815" t="s">
        <v>42</v>
      </c>
      <c r="L815" s="19">
        <v>1</v>
      </c>
      <c r="M815" s="20">
        <v>1740000</v>
      </c>
      <c r="N815" s="20">
        <v>1467600</v>
      </c>
      <c r="O815" s="20">
        <f t="shared" si="38"/>
        <v>272400</v>
      </c>
      <c r="P815" t="s">
        <v>72</v>
      </c>
    </row>
    <row r="816" spans="1:16">
      <c r="A816" t="s">
        <v>896</v>
      </c>
      <c r="B816" s="18">
        <v>46229</v>
      </c>
      <c r="C816" s="19">
        <f t="shared" si="36"/>
        <v>2026</v>
      </c>
      <c r="D816" s="19" t="str">
        <f t="shared" si="37"/>
        <v>Jul</v>
      </c>
      <c r="E816" t="s">
        <v>26</v>
      </c>
      <c r="F816" t="s">
        <v>65</v>
      </c>
      <c r="G816" t="s">
        <v>66</v>
      </c>
      <c r="H816" t="s">
        <v>67</v>
      </c>
      <c r="I816" t="s">
        <v>121</v>
      </c>
      <c r="J816" t="s">
        <v>57</v>
      </c>
      <c r="K816" t="s">
        <v>42</v>
      </c>
      <c r="L816" s="19">
        <v>1</v>
      </c>
      <c r="M816" s="20">
        <v>1518000</v>
      </c>
      <c r="N816" s="20">
        <v>1304100</v>
      </c>
      <c r="O816" s="20">
        <f t="shared" si="38"/>
        <v>213900</v>
      </c>
      <c r="P816" t="s">
        <v>37</v>
      </c>
    </row>
    <row r="817" spans="1:16">
      <c r="A817" t="s">
        <v>897</v>
      </c>
      <c r="B817" s="18">
        <v>46229</v>
      </c>
      <c r="C817" s="19">
        <f t="shared" si="36"/>
        <v>2026</v>
      </c>
      <c r="D817" s="19" t="str">
        <f t="shared" si="37"/>
        <v>Jul</v>
      </c>
      <c r="E817" t="s">
        <v>33</v>
      </c>
      <c r="F817" t="s">
        <v>34</v>
      </c>
      <c r="G817" t="s">
        <v>34</v>
      </c>
      <c r="H817" t="s">
        <v>35</v>
      </c>
      <c r="I817" t="s">
        <v>121</v>
      </c>
      <c r="J817" t="s">
        <v>57</v>
      </c>
      <c r="K817" t="s">
        <v>42</v>
      </c>
      <c r="L817" s="19">
        <v>1</v>
      </c>
      <c r="M817" s="20">
        <v>1626000</v>
      </c>
      <c r="N817" s="20">
        <v>1352600</v>
      </c>
      <c r="O817" s="20">
        <f t="shared" si="38"/>
        <v>273400</v>
      </c>
      <c r="P817" t="s">
        <v>31</v>
      </c>
    </row>
    <row r="818" spans="1:16">
      <c r="A818" t="s">
        <v>898</v>
      </c>
      <c r="B818" s="18">
        <v>46230</v>
      </c>
      <c r="C818" s="19">
        <f t="shared" si="36"/>
        <v>2026</v>
      </c>
      <c r="D818" s="19" t="str">
        <f t="shared" si="37"/>
        <v>Jul</v>
      </c>
      <c r="E818" t="s">
        <v>33</v>
      </c>
      <c r="F818" t="s">
        <v>34</v>
      </c>
      <c r="G818" t="s">
        <v>34</v>
      </c>
      <c r="H818" t="s">
        <v>35</v>
      </c>
      <c r="I818" t="s">
        <v>68</v>
      </c>
      <c r="J818" t="s">
        <v>49</v>
      </c>
      <c r="K818" t="s">
        <v>58</v>
      </c>
      <c r="L818" s="19">
        <v>1</v>
      </c>
      <c r="M818" s="20">
        <v>901000</v>
      </c>
      <c r="N818" s="20">
        <v>754100</v>
      </c>
      <c r="O818" s="20">
        <f t="shared" si="38"/>
        <v>146900</v>
      </c>
      <c r="P818" t="s">
        <v>31</v>
      </c>
    </row>
    <row r="819" spans="1:16">
      <c r="A819" t="s">
        <v>899</v>
      </c>
      <c r="B819" s="18">
        <v>46230</v>
      </c>
      <c r="C819" s="19">
        <f t="shared" si="36"/>
        <v>2026</v>
      </c>
      <c r="D819" s="19" t="str">
        <f t="shared" si="37"/>
        <v>Jul</v>
      </c>
      <c r="E819" t="s">
        <v>26</v>
      </c>
      <c r="F819" t="s">
        <v>27</v>
      </c>
      <c r="G819" t="s">
        <v>28</v>
      </c>
      <c r="H819" t="s">
        <v>39</v>
      </c>
      <c r="I819" t="s">
        <v>30</v>
      </c>
      <c r="J819" t="s">
        <v>22</v>
      </c>
      <c r="K819" t="s">
        <v>23</v>
      </c>
      <c r="L819" s="19">
        <v>1</v>
      </c>
      <c r="M819" s="20">
        <v>1855000</v>
      </c>
      <c r="N819" s="20">
        <v>1577500</v>
      </c>
      <c r="O819" s="20">
        <f t="shared" si="38"/>
        <v>277500</v>
      </c>
      <c r="P819" t="s">
        <v>31</v>
      </c>
    </row>
    <row r="820" spans="1:16">
      <c r="A820" t="s">
        <v>900</v>
      </c>
      <c r="B820" s="18">
        <v>46231</v>
      </c>
      <c r="C820" s="19">
        <f t="shared" si="36"/>
        <v>2026</v>
      </c>
      <c r="D820" s="19" t="str">
        <f t="shared" si="37"/>
        <v>Jul</v>
      </c>
      <c r="E820" t="s">
        <v>17</v>
      </c>
      <c r="F820" t="s">
        <v>51</v>
      </c>
      <c r="G820" t="s">
        <v>52</v>
      </c>
      <c r="H820" t="s">
        <v>70</v>
      </c>
      <c r="I820" t="s">
        <v>63</v>
      </c>
      <c r="J820" t="s">
        <v>41</v>
      </c>
      <c r="K820" t="s">
        <v>58</v>
      </c>
      <c r="L820" s="19">
        <v>1</v>
      </c>
      <c r="M820" s="20">
        <v>1380000</v>
      </c>
      <c r="N820" s="20">
        <v>1112600</v>
      </c>
      <c r="O820" s="20">
        <f t="shared" si="38"/>
        <v>267400</v>
      </c>
      <c r="P820" t="s">
        <v>37</v>
      </c>
    </row>
    <row r="821" spans="1:16">
      <c r="A821" t="s">
        <v>901</v>
      </c>
      <c r="B821" s="18">
        <v>46231</v>
      </c>
      <c r="C821" s="19">
        <f t="shared" si="36"/>
        <v>2026</v>
      </c>
      <c r="D821" s="19" t="str">
        <f t="shared" si="37"/>
        <v>Jul</v>
      </c>
      <c r="E821" t="s">
        <v>33</v>
      </c>
      <c r="F821" t="s">
        <v>34</v>
      </c>
      <c r="G821" t="s">
        <v>34</v>
      </c>
      <c r="H821" t="s">
        <v>35</v>
      </c>
      <c r="I821" t="s">
        <v>71</v>
      </c>
      <c r="J821" t="s">
        <v>49</v>
      </c>
      <c r="K821" t="s">
        <v>58</v>
      </c>
      <c r="L821" s="19">
        <v>1</v>
      </c>
      <c r="M821" s="20">
        <v>1039000</v>
      </c>
      <c r="N821" s="20">
        <v>882800</v>
      </c>
      <c r="O821" s="20">
        <f t="shared" si="38"/>
        <v>156200</v>
      </c>
      <c r="P821" t="s">
        <v>78</v>
      </c>
    </row>
    <row r="822" spans="1:16">
      <c r="A822" t="s">
        <v>902</v>
      </c>
      <c r="B822" s="18">
        <v>46231</v>
      </c>
      <c r="C822" s="19">
        <f t="shared" si="36"/>
        <v>2026</v>
      </c>
      <c r="D822" s="19" t="str">
        <f t="shared" si="37"/>
        <v>Jul</v>
      </c>
      <c r="E822" t="s">
        <v>17</v>
      </c>
      <c r="F822" t="s">
        <v>51</v>
      </c>
      <c r="G822" t="s">
        <v>52</v>
      </c>
      <c r="H822" t="s">
        <v>70</v>
      </c>
      <c r="I822" t="s">
        <v>56</v>
      </c>
      <c r="J822" t="s">
        <v>57</v>
      </c>
      <c r="K822" t="s">
        <v>58</v>
      </c>
      <c r="L822" s="19">
        <v>1</v>
      </c>
      <c r="M822" s="20">
        <v>1267000</v>
      </c>
      <c r="N822" s="20">
        <v>1047800</v>
      </c>
      <c r="O822" s="20">
        <f t="shared" si="38"/>
        <v>219200</v>
      </c>
      <c r="P822" t="s">
        <v>72</v>
      </c>
    </row>
    <row r="823" spans="1:16">
      <c r="A823" t="s">
        <v>903</v>
      </c>
      <c r="B823" s="18">
        <v>46232</v>
      </c>
      <c r="C823" s="19">
        <f t="shared" si="36"/>
        <v>2026</v>
      </c>
      <c r="D823" s="19" t="str">
        <f t="shared" si="37"/>
        <v>Jul</v>
      </c>
      <c r="E823" t="s">
        <v>33</v>
      </c>
      <c r="F823" t="s">
        <v>34</v>
      </c>
      <c r="G823" t="s">
        <v>34</v>
      </c>
      <c r="H823" t="s">
        <v>102</v>
      </c>
      <c r="I823" t="s">
        <v>71</v>
      </c>
      <c r="J823" t="s">
        <v>49</v>
      </c>
      <c r="K823" t="s">
        <v>58</v>
      </c>
      <c r="L823" s="19">
        <v>1</v>
      </c>
      <c r="M823" s="20">
        <v>976000</v>
      </c>
      <c r="N823" s="20">
        <v>800400</v>
      </c>
      <c r="O823" s="20">
        <f t="shared" si="38"/>
        <v>175600</v>
      </c>
      <c r="P823" t="s">
        <v>31</v>
      </c>
    </row>
    <row r="824" spans="1:16">
      <c r="A824" t="s">
        <v>904</v>
      </c>
      <c r="B824" s="18">
        <v>46233</v>
      </c>
      <c r="C824" s="19">
        <f t="shared" si="36"/>
        <v>2026</v>
      </c>
      <c r="D824" s="19" t="str">
        <f t="shared" si="37"/>
        <v>Jul</v>
      </c>
      <c r="E824" t="s">
        <v>33</v>
      </c>
      <c r="F824" t="s">
        <v>34</v>
      </c>
      <c r="G824" t="s">
        <v>34</v>
      </c>
      <c r="H824" t="s">
        <v>35</v>
      </c>
      <c r="I824" t="s">
        <v>56</v>
      </c>
      <c r="J824" t="s">
        <v>57</v>
      </c>
      <c r="K824" t="s">
        <v>58</v>
      </c>
      <c r="L824" s="19">
        <v>1</v>
      </c>
      <c r="M824" s="20">
        <v>1214000</v>
      </c>
      <c r="N824" s="20">
        <v>1003400</v>
      </c>
      <c r="O824" s="20">
        <f t="shared" si="38"/>
        <v>210600</v>
      </c>
      <c r="P824" t="s">
        <v>24</v>
      </c>
    </row>
    <row r="825" spans="1:16">
      <c r="A825" t="s">
        <v>905</v>
      </c>
      <c r="B825" s="18">
        <v>46233</v>
      </c>
      <c r="C825" s="19">
        <f t="shared" si="36"/>
        <v>2026</v>
      </c>
      <c r="D825" s="19" t="str">
        <f t="shared" si="37"/>
        <v>Jul</v>
      </c>
      <c r="E825" t="s">
        <v>44</v>
      </c>
      <c r="F825" t="s">
        <v>118</v>
      </c>
      <c r="G825" t="s">
        <v>119</v>
      </c>
      <c r="H825" t="s">
        <v>120</v>
      </c>
      <c r="I825" t="s">
        <v>121</v>
      </c>
      <c r="J825" t="s">
        <v>57</v>
      </c>
      <c r="K825" t="s">
        <v>42</v>
      </c>
      <c r="L825" s="19">
        <v>1</v>
      </c>
      <c r="M825" s="20">
        <v>1558000</v>
      </c>
      <c r="N825" s="20">
        <v>1263400</v>
      </c>
      <c r="O825" s="20">
        <f t="shared" si="38"/>
        <v>294600</v>
      </c>
      <c r="P825" t="s">
        <v>78</v>
      </c>
    </row>
    <row r="826" spans="1:16">
      <c r="A826" t="s">
        <v>906</v>
      </c>
      <c r="B826" s="18">
        <v>46233</v>
      </c>
      <c r="C826" s="19">
        <f t="shared" si="36"/>
        <v>2026</v>
      </c>
      <c r="D826" s="19" t="str">
        <f t="shared" si="37"/>
        <v>Jul</v>
      </c>
      <c r="E826" t="s">
        <v>17</v>
      </c>
      <c r="F826" t="s">
        <v>51</v>
      </c>
      <c r="G826" t="s">
        <v>98</v>
      </c>
      <c r="H826" t="s">
        <v>99</v>
      </c>
      <c r="I826" t="s">
        <v>121</v>
      </c>
      <c r="J826" t="s">
        <v>57</v>
      </c>
      <c r="K826" t="s">
        <v>42</v>
      </c>
      <c r="L826" s="19">
        <v>1</v>
      </c>
      <c r="M826" s="20">
        <v>1569000</v>
      </c>
      <c r="N826" s="20">
        <v>1357100</v>
      </c>
      <c r="O826" s="20">
        <f t="shared" si="38"/>
        <v>211900</v>
      </c>
      <c r="P826" t="s">
        <v>78</v>
      </c>
    </row>
    <row r="827" spans="1:16">
      <c r="A827" t="s">
        <v>907</v>
      </c>
      <c r="B827" s="18">
        <v>46234</v>
      </c>
      <c r="C827" s="19">
        <f t="shared" si="36"/>
        <v>2026</v>
      </c>
      <c r="D827" s="19" t="str">
        <f t="shared" si="37"/>
        <v>Jul</v>
      </c>
      <c r="E827" t="s">
        <v>44</v>
      </c>
      <c r="F827" t="s">
        <v>45</v>
      </c>
      <c r="G827" t="s">
        <v>46</v>
      </c>
      <c r="H827" t="s">
        <v>47</v>
      </c>
      <c r="I827" t="s">
        <v>63</v>
      </c>
      <c r="J827" t="s">
        <v>41</v>
      </c>
      <c r="K827" t="s">
        <v>58</v>
      </c>
      <c r="L827" s="19">
        <v>1</v>
      </c>
      <c r="M827" s="20">
        <v>1345000</v>
      </c>
      <c r="N827" s="20">
        <v>1148300</v>
      </c>
      <c r="O827" s="20">
        <f t="shared" si="38"/>
        <v>196700</v>
      </c>
      <c r="P827" t="s">
        <v>31</v>
      </c>
    </row>
    <row r="828" spans="1:16">
      <c r="A828" t="s">
        <v>908</v>
      </c>
      <c r="B828" s="18">
        <v>46234</v>
      </c>
      <c r="C828" s="19">
        <f t="shared" si="36"/>
        <v>2026</v>
      </c>
      <c r="D828" s="19" t="str">
        <f t="shared" si="37"/>
        <v>Jul</v>
      </c>
      <c r="E828" t="s">
        <v>17</v>
      </c>
      <c r="F828" t="s">
        <v>18</v>
      </c>
      <c r="G828" t="s">
        <v>60</v>
      </c>
      <c r="H828" t="s">
        <v>61</v>
      </c>
      <c r="I828" t="s">
        <v>171</v>
      </c>
      <c r="J828" t="s">
        <v>22</v>
      </c>
      <c r="K828" t="s">
        <v>42</v>
      </c>
      <c r="L828" s="19">
        <v>1</v>
      </c>
      <c r="M828" s="20">
        <v>6519000</v>
      </c>
      <c r="N828" s="20">
        <v>5330700</v>
      </c>
      <c r="O828" s="20">
        <f t="shared" si="38"/>
        <v>1188300</v>
      </c>
      <c r="P828" t="s">
        <v>31</v>
      </c>
    </row>
    <row r="829" spans="1:16">
      <c r="A829" t="s">
        <v>909</v>
      </c>
      <c r="B829" s="18">
        <v>46234</v>
      </c>
      <c r="C829" s="19">
        <f t="shared" si="36"/>
        <v>2026</v>
      </c>
      <c r="D829" s="19" t="str">
        <f t="shared" si="37"/>
        <v>Jul</v>
      </c>
      <c r="E829" t="s">
        <v>33</v>
      </c>
      <c r="F829" t="s">
        <v>34</v>
      </c>
      <c r="G829" t="s">
        <v>34</v>
      </c>
      <c r="H829" t="s">
        <v>102</v>
      </c>
      <c r="I829" t="s">
        <v>63</v>
      </c>
      <c r="J829" t="s">
        <v>41</v>
      </c>
      <c r="K829" t="s">
        <v>58</v>
      </c>
      <c r="L829" s="19">
        <v>1</v>
      </c>
      <c r="M829" s="20">
        <v>1313000</v>
      </c>
      <c r="N829" s="20">
        <v>1115300</v>
      </c>
      <c r="O829" s="20">
        <f t="shared" si="38"/>
        <v>197700</v>
      </c>
      <c r="P829" t="s">
        <v>72</v>
      </c>
    </row>
    <row r="830" spans="1:16">
      <c r="A830" t="s">
        <v>910</v>
      </c>
      <c r="B830" s="18">
        <v>46235</v>
      </c>
      <c r="C830" s="19">
        <f t="shared" si="36"/>
        <v>2026</v>
      </c>
      <c r="D830" s="19" t="str">
        <f t="shared" si="37"/>
        <v>Aug</v>
      </c>
      <c r="E830" t="s">
        <v>26</v>
      </c>
      <c r="F830" t="s">
        <v>27</v>
      </c>
      <c r="G830" t="s">
        <v>28</v>
      </c>
      <c r="H830" t="s">
        <v>39</v>
      </c>
      <c r="I830" t="s">
        <v>56</v>
      </c>
      <c r="J830" t="s">
        <v>57</v>
      </c>
      <c r="K830" t="s">
        <v>58</v>
      </c>
      <c r="L830" s="19">
        <v>1</v>
      </c>
      <c r="M830" s="20">
        <v>1192000</v>
      </c>
      <c r="N830" s="20">
        <v>1010700</v>
      </c>
      <c r="O830" s="20">
        <f t="shared" si="38"/>
        <v>181300</v>
      </c>
      <c r="P830" t="s">
        <v>24</v>
      </c>
    </row>
    <row r="831" spans="1:16">
      <c r="A831" t="s">
        <v>911</v>
      </c>
      <c r="B831" s="18">
        <v>46235</v>
      </c>
      <c r="C831" s="19">
        <f t="shared" si="36"/>
        <v>2026</v>
      </c>
      <c r="D831" s="19" t="str">
        <f t="shared" si="37"/>
        <v>Aug</v>
      </c>
      <c r="E831" t="s">
        <v>44</v>
      </c>
      <c r="F831" t="s">
        <v>118</v>
      </c>
      <c r="G831" t="s">
        <v>119</v>
      </c>
      <c r="H831" t="s">
        <v>120</v>
      </c>
      <c r="I831" t="s">
        <v>63</v>
      </c>
      <c r="J831" t="s">
        <v>41</v>
      </c>
      <c r="K831" t="s">
        <v>58</v>
      </c>
      <c r="L831" s="19">
        <v>1</v>
      </c>
      <c r="M831" s="20">
        <v>1384000</v>
      </c>
      <c r="N831" s="20">
        <v>1179300</v>
      </c>
      <c r="O831" s="20">
        <f t="shared" si="38"/>
        <v>204700</v>
      </c>
      <c r="P831" t="s">
        <v>31</v>
      </c>
    </row>
    <row r="832" spans="1:16">
      <c r="A832" t="s">
        <v>912</v>
      </c>
      <c r="B832" s="18">
        <v>46236</v>
      </c>
      <c r="C832" s="19">
        <f t="shared" si="36"/>
        <v>2026</v>
      </c>
      <c r="D832" s="19" t="str">
        <f t="shared" si="37"/>
        <v>Aug</v>
      </c>
      <c r="E832" t="s">
        <v>17</v>
      </c>
      <c r="F832" t="s">
        <v>51</v>
      </c>
      <c r="G832" t="s">
        <v>98</v>
      </c>
      <c r="H832" t="s">
        <v>99</v>
      </c>
      <c r="I832" t="s">
        <v>40</v>
      </c>
      <c r="J832" t="s">
        <v>41</v>
      </c>
      <c r="K832" t="s">
        <v>42</v>
      </c>
      <c r="L832" s="19">
        <v>1</v>
      </c>
      <c r="M832" s="20">
        <v>1692000</v>
      </c>
      <c r="N832" s="20">
        <v>1398700</v>
      </c>
      <c r="O832" s="20">
        <f t="shared" si="38"/>
        <v>293300</v>
      </c>
      <c r="P832" t="s">
        <v>37</v>
      </c>
    </row>
    <row r="833" spans="1:16">
      <c r="A833" t="s">
        <v>913</v>
      </c>
      <c r="B833" s="18">
        <v>46236</v>
      </c>
      <c r="C833" s="19">
        <f t="shared" si="36"/>
        <v>2026</v>
      </c>
      <c r="D833" s="19" t="str">
        <f t="shared" si="37"/>
        <v>Aug</v>
      </c>
      <c r="E833" t="s">
        <v>26</v>
      </c>
      <c r="F833" t="s">
        <v>27</v>
      </c>
      <c r="G833" t="s">
        <v>28</v>
      </c>
      <c r="H833" t="s">
        <v>29</v>
      </c>
      <c r="I833" t="s">
        <v>40</v>
      </c>
      <c r="J833" t="s">
        <v>41</v>
      </c>
      <c r="K833" t="s">
        <v>42</v>
      </c>
      <c r="L833" s="19">
        <v>1</v>
      </c>
      <c r="M833" s="20">
        <v>1716000</v>
      </c>
      <c r="N833" s="20">
        <v>1498400</v>
      </c>
      <c r="O833" s="20">
        <f t="shared" si="38"/>
        <v>217600</v>
      </c>
      <c r="P833" t="s">
        <v>31</v>
      </c>
    </row>
    <row r="834" spans="1:16">
      <c r="A834" t="s">
        <v>914</v>
      </c>
      <c r="B834" s="18">
        <v>46236</v>
      </c>
      <c r="C834" s="19">
        <f t="shared" ref="C834:C897" si="39">YEAR(B834)</f>
        <v>2026</v>
      </c>
      <c r="D834" s="19" t="str">
        <f t="shared" ref="D834:D897" si="40">CHOOSE(MONTH(B834),"Jan","Feb","Mar","Apr","May","Jun","Jul","Aug","Sep","Oct","Nov","Dec")</f>
        <v>Aug</v>
      </c>
      <c r="E834" t="s">
        <v>17</v>
      </c>
      <c r="F834" t="s">
        <v>18</v>
      </c>
      <c r="G834" t="s">
        <v>19</v>
      </c>
      <c r="H834" t="s">
        <v>20</v>
      </c>
      <c r="I834" t="s">
        <v>63</v>
      </c>
      <c r="J834" t="s">
        <v>41</v>
      </c>
      <c r="K834" t="s">
        <v>58</v>
      </c>
      <c r="L834" s="19">
        <v>1</v>
      </c>
      <c r="M834" s="20">
        <v>1327000</v>
      </c>
      <c r="N834" s="20">
        <v>1064900</v>
      </c>
      <c r="O834" s="20">
        <f t="shared" ref="O834:O897" si="41">M834-N834</f>
        <v>262100</v>
      </c>
      <c r="P834" t="s">
        <v>37</v>
      </c>
    </row>
    <row r="835" spans="1:16">
      <c r="A835" t="s">
        <v>915</v>
      </c>
      <c r="B835" s="18">
        <v>46237</v>
      </c>
      <c r="C835" s="19">
        <f t="shared" si="39"/>
        <v>2026</v>
      </c>
      <c r="D835" s="19" t="str">
        <f t="shared" si="40"/>
        <v>Aug</v>
      </c>
      <c r="E835" t="s">
        <v>17</v>
      </c>
      <c r="F835" t="s">
        <v>51</v>
      </c>
      <c r="G835" t="s">
        <v>52</v>
      </c>
      <c r="H835" t="s">
        <v>53</v>
      </c>
      <c r="I835" t="s">
        <v>84</v>
      </c>
      <c r="J835" t="s">
        <v>22</v>
      </c>
      <c r="K835" t="s">
        <v>23</v>
      </c>
      <c r="L835" s="19">
        <v>1</v>
      </c>
      <c r="M835" s="20">
        <v>6368000</v>
      </c>
      <c r="N835" s="20">
        <v>5148800</v>
      </c>
      <c r="O835" s="20">
        <f t="shared" si="41"/>
        <v>1219200</v>
      </c>
      <c r="P835" t="s">
        <v>37</v>
      </c>
    </row>
    <row r="836" spans="1:16">
      <c r="A836" t="s">
        <v>916</v>
      </c>
      <c r="B836" s="18">
        <v>46237</v>
      </c>
      <c r="C836" s="19">
        <f t="shared" si="39"/>
        <v>2026</v>
      </c>
      <c r="D836" s="19" t="str">
        <f t="shared" si="40"/>
        <v>Aug</v>
      </c>
      <c r="E836" t="s">
        <v>17</v>
      </c>
      <c r="F836" t="s">
        <v>18</v>
      </c>
      <c r="G836" t="s">
        <v>19</v>
      </c>
      <c r="H836" t="s">
        <v>74</v>
      </c>
      <c r="I836" t="s">
        <v>21</v>
      </c>
      <c r="J836" t="s">
        <v>22</v>
      </c>
      <c r="K836" t="s">
        <v>23</v>
      </c>
      <c r="L836" s="19">
        <v>1</v>
      </c>
      <c r="M836" s="20">
        <v>1806000</v>
      </c>
      <c r="N836" s="20">
        <v>1555700</v>
      </c>
      <c r="O836" s="20">
        <f t="shared" si="41"/>
        <v>250300</v>
      </c>
      <c r="P836" t="s">
        <v>78</v>
      </c>
    </row>
    <row r="837" spans="1:16">
      <c r="A837" t="s">
        <v>917</v>
      </c>
      <c r="B837" s="18">
        <v>46237</v>
      </c>
      <c r="C837" s="19">
        <f t="shared" si="39"/>
        <v>2026</v>
      </c>
      <c r="D837" s="19" t="str">
        <f t="shared" si="40"/>
        <v>Aug</v>
      </c>
      <c r="E837" t="s">
        <v>44</v>
      </c>
      <c r="F837" t="s">
        <v>45</v>
      </c>
      <c r="G837" t="s">
        <v>46</v>
      </c>
      <c r="H837" t="s">
        <v>47</v>
      </c>
      <c r="I837" t="s">
        <v>68</v>
      </c>
      <c r="J837" t="s">
        <v>49</v>
      </c>
      <c r="K837" t="s">
        <v>58</v>
      </c>
      <c r="L837" s="19">
        <v>1</v>
      </c>
      <c r="M837" s="20">
        <v>930000</v>
      </c>
      <c r="N837" s="20">
        <v>769700</v>
      </c>
      <c r="O837" s="20">
        <f t="shared" si="41"/>
        <v>160300</v>
      </c>
      <c r="P837" t="s">
        <v>37</v>
      </c>
    </row>
    <row r="838" spans="1:16">
      <c r="A838" t="s">
        <v>918</v>
      </c>
      <c r="B838" s="18">
        <v>46238</v>
      </c>
      <c r="C838" s="19">
        <f t="shared" si="39"/>
        <v>2026</v>
      </c>
      <c r="D838" s="19" t="str">
        <f t="shared" si="40"/>
        <v>Aug</v>
      </c>
      <c r="E838" t="s">
        <v>17</v>
      </c>
      <c r="F838" t="s">
        <v>51</v>
      </c>
      <c r="G838" t="s">
        <v>52</v>
      </c>
      <c r="H838" t="s">
        <v>53</v>
      </c>
      <c r="I838" t="s">
        <v>48</v>
      </c>
      <c r="J838" t="s">
        <v>49</v>
      </c>
      <c r="K838" t="s">
        <v>42</v>
      </c>
      <c r="L838" s="19">
        <v>1</v>
      </c>
      <c r="M838" s="20">
        <v>1193000</v>
      </c>
      <c r="N838" s="20">
        <v>992600</v>
      </c>
      <c r="O838" s="20">
        <f t="shared" si="41"/>
        <v>200400</v>
      </c>
      <c r="P838" t="s">
        <v>31</v>
      </c>
    </row>
    <row r="839" spans="1:16">
      <c r="A839" t="s">
        <v>919</v>
      </c>
      <c r="B839" s="18">
        <v>46238</v>
      </c>
      <c r="C839" s="19">
        <f t="shared" si="39"/>
        <v>2026</v>
      </c>
      <c r="D839" s="19" t="str">
        <f t="shared" si="40"/>
        <v>Aug</v>
      </c>
      <c r="E839" t="s">
        <v>44</v>
      </c>
      <c r="F839" t="s">
        <v>45</v>
      </c>
      <c r="G839" t="s">
        <v>46</v>
      </c>
      <c r="H839" t="s">
        <v>47</v>
      </c>
      <c r="I839" t="s">
        <v>30</v>
      </c>
      <c r="J839" t="s">
        <v>22</v>
      </c>
      <c r="K839" t="s">
        <v>23</v>
      </c>
      <c r="L839" s="19">
        <v>2</v>
      </c>
      <c r="M839" s="20">
        <v>3481000</v>
      </c>
      <c r="N839" s="20">
        <v>2884300</v>
      </c>
      <c r="O839" s="20">
        <f t="shared" si="41"/>
        <v>596700</v>
      </c>
      <c r="P839" t="s">
        <v>31</v>
      </c>
    </row>
    <row r="840" spans="1:16">
      <c r="A840" t="s">
        <v>920</v>
      </c>
      <c r="B840" s="18">
        <v>46239</v>
      </c>
      <c r="C840" s="19">
        <f t="shared" si="39"/>
        <v>2026</v>
      </c>
      <c r="D840" s="19" t="str">
        <f t="shared" si="40"/>
        <v>Aug</v>
      </c>
      <c r="E840" t="s">
        <v>17</v>
      </c>
      <c r="F840" t="s">
        <v>18</v>
      </c>
      <c r="G840" t="s">
        <v>19</v>
      </c>
      <c r="H840" t="s">
        <v>20</v>
      </c>
      <c r="I840" t="s">
        <v>71</v>
      </c>
      <c r="J840" t="s">
        <v>49</v>
      </c>
      <c r="K840" t="s">
        <v>58</v>
      </c>
      <c r="L840" s="19">
        <v>1</v>
      </c>
      <c r="M840" s="20">
        <v>1008000</v>
      </c>
      <c r="N840" s="20">
        <v>817700</v>
      </c>
      <c r="O840" s="20">
        <f t="shared" si="41"/>
        <v>190300</v>
      </c>
      <c r="P840" t="s">
        <v>78</v>
      </c>
    </row>
    <row r="841" spans="1:16">
      <c r="A841" t="s">
        <v>921</v>
      </c>
      <c r="B841" s="18">
        <v>46240</v>
      </c>
      <c r="C841" s="19">
        <f t="shared" si="39"/>
        <v>2026</v>
      </c>
      <c r="D841" s="19" t="str">
        <f t="shared" si="40"/>
        <v>Aug</v>
      </c>
      <c r="E841" t="s">
        <v>17</v>
      </c>
      <c r="F841" t="s">
        <v>18</v>
      </c>
      <c r="G841" t="s">
        <v>19</v>
      </c>
      <c r="H841" t="s">
        <v>74</v>
      </c>
      <c r="I841" t="s">
        <v>121</v>
      </c>
      <c r="J841" t="s">
        <v>57</v>
      </c>
      <c r="K841" t="s">
        <v>42</v>
      </c>
      <c r="L841" s="19">
        <v>1</v>
      </c>
      <c r="M841" s="20">
        <v>1607000</v>
      </c>
      <c r="N841" s="20">
        <v>1287500</v>
      </c>
      <c r="O841" s="20">
        <f t="shared" si="41"/>
        <v>319500</v>
      </c>
      <c r="P841" t="s">
        <v>37</v>
      </c>
    </row>
    <row r="842" spans="1:16">
      <c r="A842" t="s">
        <v>922</v>
      </c>
      <c r="B842" s="18">
        <v>46240</v>
      </c>
      <c r="C842" s="19">
        <f t="shared" si="39"/>
        <v>2026</v>
      </c>
      <c r="D842" s="19" t="str">
        <f t="shared" si="40"/>
        <v>Aug</v>
      </c>
      <c r="E842" t="s">
        <v>33</v>
      </c>
      <c r="F842" t="s">
        <v>34</v>
      </c>
      <c r="G842" t="s">
        <v>34</v>
      </c>
      <c r="H842" t="s">
        <v>35</v>
      </c>
      <c r="I842" t="s">
        <v>56</v>
      </c>
      <c r="J842" t="s">
        <v>57</v>
      </c>
      <c r="K842" t="s">
        <v>58</v>
      </c>
      <c r="L842" s="19">
        <v>1</v>
      </c>
      <c r="M842" s="20">
        <v>1210000</v>
      </c>
      <c r="N842" s="20">
        <v>1001900</v>
      </c>
      <c r="O842" s="20">
        <f t="shared" si="41"/>
        <v>208100</v>
      </c>
      <c r="P842" t="s">
        <v>72</v>
      </c>
    </row>
    <row r="843" spans="1:16">
      <c r="A843" t="s">
        <v>923</v>
      </c>
      <c r="B843" s="18">
        <v>46241</v>
      </c>
      <c r="C843" s="19">
        <f t="shared" si="39"/>
        <v>2026</v>
      </c>
      <c r="D843" s="19" t="str">
        <f t="shared" si="40"/>
        <v>Aug</v>
      </c>
      <c r="E843" t="s">
        <v>17</v>
      </c>
      <c r="F843" t="s">
        <v>51</v>
      </c>
      <c r="G843" t="s">
        <v>98</v>
      </c>
      <c r="H843" t="s">
        <v>99</v>
      </c>
      <c r="I843" t="s">
        <v>63</v>
      </c>
      <c r="J843" t="s">
        <v>41</v>
      </c>
      <c r="K843" t="s">
        <v>58</v>
      </c>
      <c r="L843" s="19">
        <v>1</v>
      </c>
      <c r="M843" s="20">
        <v>1299000</v>
      </c>
      <c r="N843" s="20">
        <v>1117600</v>
      </c>
      <c r="O843" s="20">
        <f t="shared" si="41"/>
        <v>181400</v>
      </c>
      <c r="P843" t="s">
        <v>24</v>
      </c>
    </row>
    <row r="844" spans="1:16">
      <c r="A844" t="s">
        <v>924</v>
      </c>
      <c r="B844" s="18">
        <v>46241</v>
      </c>
      <c r="C844" s="19">
        <f t="shared" si="39"/>
        <v>2026</v>
      </c>
      <c r="D844" s="19" t="str">
        <f t="shared" si="40"/>
        <v>Aug</v>
      </c>
      <c r="E844" t="s">
        <v>26</v>
      </c>
      <c r="F844" t="s">
        <v>27</v>
      </c>
      <c r="G844" t="s">
        <v>28</v>
      </c>
      <c r="H844" t="s">
        <v>29</v>
      </c>
      <c r="I844" t="s">
        <v>40</v>
      </c>
      <c r="J844" t="s">
        <v>41</v>
      </c>
      <c r="K844" t="s">
        <v>42</v>
      </c>
      <c r="L844" s="19">
        <v>1</v>
      </c>
      <c r="M844" s="20">
        <v>1665000</v>
      </c>
      <c r="N844" s="20">
        <v>1342000</v>
      </c>
      <c r="O844" s="20">
        <f t="shared" si="41"/>
        <v>323000</v>
      </c>
      <c r="P844" t="s">
        <v>37</v>
      </c>
    </row>
    <row r="845" spans="1:16">
      <c r="A845" t="s">
        <v>925</v>
      </c>
      <c r="B845" s="18">
        <v>46242</v>
      </c>
      <c r="C845" s="19">
        <f t="shared" si="39"/>
        <v>2026</v>
      </c>
      <c r="D845" s="19" t="str">
        <f t="shared" si="40"/>
        <v>Aug</v>
      </c>
      <c r="E845" t="s">
        <v>26</v>
      </c>
      <c r="F845" t="s">
        <v>27</v>
      </c>
      <c r="G845" t="s">
        <v>28</v>
      </c>
      <c r="H845" t="s">
        <v>29</v>
      </c>
      <c r="I845" t="s">
        <v>40</v>
      </c>
      <c r="J845" t="s">
        <v>41</v>
      </c>
      <c r="K845" t="s">
        <v>42</v>
      </c>
      <c r="L845" s="19">
        <v>1</v>
      </c>
      <c r="M845" s="20">
        <v>1753000</v>
      </c>
      <c r="N845" s="20">
        <v>1476100</v>
      </c>
      <c r="O845" s="20">
        <f t="shared" si="41"/>
        <v>276900</v>
      </c>
      <c r="P845" t="s">
        <v>31</v>
      </c>
    </row>
    <row r="846" spans="1:16">
      <c r="A846" t="s">
        <v>926</v>
      </c>
      <c r="B846" s="18">
        <v>46242</v>
      </c>
      <c r="C846" s="19">
        <f t="shared" si="39"/>
        <v>2026</v>
      </c>
      <c r="D846" s="19" t="str">
        <f t="shared" si="40"/>
        <v>Aug</v>
      </c>
      <c r="E846" t="s">
        <v>17</v>
      </c>
      <c r="F846" t="s">
        <v>18</v>
      </c>
      <c r="G846" t="s">
        <v>60</v>
      </c>
      <c r="H846" t="s">
        <v>61</v>
      </c>
      <c r="I846" t="s">
        <v>56</v>
      </c>
      <c r="J846" t="s">
        <v>57</v>
      </c>
      <c r="K846" t="s">
        <v>58</v>
      </c>
      <c r="L846" s="19">
        <v>1</v>
      </c>
      <c r="M846" s="20">
        <v>1238000</v>
      </c>
      <c r="N846" s="20">
        <v>1069300</v>
      </c>
      <c r="O846" s="20">
        <f t="shared" si="41"/>
        <v>168700</v>
      </c>
      <c r="P846" t="s">
        <v>37</v>
      </c>
    </row>
    <row r="847" spans="1:16">
      <c r="A847" t="s">
        <v>927</v>
      </c>
      <c r="B847" s="18">
        <v>46243</v>
      </c>
      <c r="C847" s="19">
        <f t="shared" si="39"/>
        <v>2026</v>
      </c>
      <c r="D847" s="19" t="str">
        <f t="shared" si="40"/>
        <v>Aug</v>
      </c>
      <c r="E847" t="s">
        <v>33</v>
      </c>
      <c r="F847" t="s">
        <v>34</v>
      </c>
      <c r="G847" t="s">
        <v>34</v>
      </c>
      <c r="H847" t="s">
        <v>35</v>
      </c>
      <c r="I847" t="s">
        <v>121</v>
      </c>
      <c r="J847" t="s">
        <v>57</v>
      </c>
      <c r="K847" t="s">
        <v>42</v>
      </c>
      <c r="L847" s="19">
        <v>1</v>
      </c>
      <c r="M847" s="20">
        <v>1605000</v>
      </c>
      <c r="N847" s="20">
        <v>1292000</v>
      </c>
      <c r="O847" s="20">
        <f t="shared" si="41"/>
        <v>313000</v>
      </c>
      <c r="P847" t="s">
        <v>31</v>
      </c>
    </row>
    <row r="848" spans="1:16">
      <c r="A848" t="s">
        <v>928</v>
      </c>
      <c r="B848" s="18">
        <v>46245</v>
      </c>
      <c r="C848" s="19">
        <f t="shared" si="39"/>
        <v>2026</v>
      </c>
      <c r="D848" s="19" t="str">
        <f t="shared" si="40"/>
        <v>Aug</v>
      </c>
      <c r="E848" t="s">
        <v>17</v>
      </c>
      <c r="F848" t="s">
        <v>18</v>
      </c>
      <c r="G848" t="s">
        <v>19</v>
      </c>
      <c r="H848" t="s">
        <v>20</v>
      </c>
      <c r="I848" t="s">
        <v>40</v>
      </c>
      <c r="J848" t="s">
        <v>41</v>
      </c>
      <c r="K848" t="s">
        <v>42</v>
      </c>
      <c r="L848" s="19">
        <v>1</v>
      </c>
      <c r="M848" s="20">
        <v>1745000</v>
      </c>
      <c r="N848" s="20">
        <v>1528000</v>
      </c>
      <c r="O848" s="20">
        <f t="shared" si="41"/>
        <v>217000</v>
      </c>
      <c r="P848" t="s">
        <v>31</v>
      </c>
    </row>
    <row r="849" spans="1:16">
      <c r="A849" t="s">
        <v>929</v>
      </c>
      <c r="B849" s="18">
        <v>46247</v>
      </c>
      <c r="C849" s="19">
        <f t="shared" si="39"/>
        <v>2026</v>
      </c>
      <c r="D849" s="19" t="str">
        <f t="shared" si="40"/>
        <v>Aug</v>
      </c>
      <c r="E849" t="s">
        <v>17</v>
      </c>
      <c r="F849" t="s">
        <v>51</v>
      </c>
      <c r="G849" t="s">
        <v>52</v>
      </c>
      <c r="H849" t="s">
        <v>70</v>
      </c>
      <c r="I849" t="s">
        <v>63</v>
      </c>
      <c r="J849" t="s">
        <v>41</v>
      </c>
      <c r="K849" t="s">
        <v>58</v>
      </c>
      <c r="L849" s="19">
        <v>1</v>
      </c>
      <c r="M849" s="20">
        <v>1360000</v>
      </c>
      <c r="N849" s="20">
        <v>1091800</v>
      </c>
      <c r="O849" s="20">
        <f t="shared" si="41"/>
        <v>268200</v>
      </c>
      <c r="P849" t="s">
        <v>24</v>
      </c>
    </row>
    <row r="850" spans="1:16">
      <c r="A850" t="s">
        <v>930</v>
      </c>
      <c r="B850" s="18">
        <v>46247</v>
      </c>
      <c r="C850" s="19">
        <f t="shared" si="39"/>
        <v>2026</v>
      </c>
      <c r="D850" s="19" t="str">
        <f t="shared" si="40"/>
        <v>Aug</v>
      </c>
      <c r="E850" t="s">
        <v>33</v>
      </c>
      <c r="F850" t="s">
        <v>81</v>
      </c>
      <c r="G850" t="s">
        <v>82</v>
      </c>
      <c r="H850" t="s">
        <v>83</v>
      </c>
      <c r="I850" t="s">
        <v>48</v>
      </c>
      <c r="J850" t="s">
        <v>49</v>
      </c>
      <c r="K850" t="s">
        <v>42</v>
      </c>
      <c r="L850" s="19">
        <v>1</v>
      </c>
      <c r="M850" s="20">
        <v>1195000</v>
      </c>
      <c r="N850" s="20">
        <v>985200</v>
      </c>
      <c r="O850" s="20">
        <f t="shared" si="41"/>
        <v>209800</v>
      </c>
      <c r="P850" t="s">
        <v>31</v>
      </c>
    </row>
    <row r="851" spans="1:16">
      <c r="A851" t="s">
        <v>931</v>
      </c>
      <c r="B851" s="18">
        <v>46248</v>
      </c>
      <c r="C851" s="19">
        <f t="shared" si="39"/>
        <v>2026</v>
      </c>
      <c r="D851" s="19" t="str">
        <f t="shared" si="40"/>
        <v>Aug</v>
      </c>
      <c r="E851" t="s">
        <v>26</v>
      </c>
      <c r="F851" t="s">
        <v>27</v>
      </c>
      <c r="G851" t="s">
        <v>28</v>
      </c>
      <c r="H851" t="s">
        <v>39</v>
      </c>
      <c r="I851" t="s">
        <v>63</v>
      </c>
      <c r="J851" t="s">
        <v>41</v>
      </c>
      <c r="K851" t="s">
        <v>58</v>
      </c>
      <c r="L851" s="19">
        <v>1</v>
      </c>
      <c r="M851" s="20">
        <v>1308000</v>
      </c>
      <c r="N851" s="20">
        <v>1093700</v>
      </c>
      <c r="O851" s="20">
        <f t="shared" si="41"/>
        <v>214300</v>
      </c>
      <c r="P851" t="s">
        <v>31</v>
      </c>
    </row>
    <row r="852" spans="1:16">
      <c r="A852" t="s">
        <v>932</v>
      </c>
      <c r="B852" s="18">
        <v>46249</v>
      </c>
      <c r="C852" s="19">
        <f t="shared" si="39"/>
        <v>2026</v>
      </c>
      <c r="D852" s="19" t="str">
        <f t="shared" si="40"/>
        <v>Aug</v>
      </c>
      <c r="E852" t="s">
        <v>17</v>
      </c>
      <c r="F852" t="s">
        <v>51</v>
      </c>
      <c r="G852" t="s">
        <v>52</v>
      </c>
      <c r="H852" t="s">
        <v>53</v>
      </c>
      <c r="I852" t="s">
        <v>68</v>
      </c>
      <c r="J852" t="s">
        <v>49</v>
      </c>
      <c r="K852" t="s">
        <v>58</v>
      </c>
      <c r="L852" s="19">
        <v>1</v>
      </c>
      <c r="M852" s="20">
        <v>932000</v>
      </c>
      <c r="N852" s="20">
        <v>762900</v>
      </c>
      <c r="O852" s="20">
        <f t="shared" si="41"/>
        <v>169100</v>
      </c>
      <c r="P852" t="s">
        <v>37</v>
      </c>
    </row>
    <row r="853" spans="1:16">
      <c r="A853" t="s">
        <v>933</v>
      </c>
      <c r="B853" s="18">
        <v>46249</v>
      </c>
      <c r="C853" s="19">
        <f t="shared" si="39"/>
        <v>2026</v>
      </c>
      <c r="D853" s="19" t="str">
        <f t="shared" si="40"/>
        <v>Aug</v>
      </c>
      <c r="E853" t="s">
        <v>33</v>
      </c>
      <c r="F853" t="s">
        <v>34</v>
      </c>
      <c r="G853" t="s">
        <v>34</v>
      </c>
      <c r="H853" t="s">
        <v>35</v>
      </c>
      <c r="I853" t="s">
        <v>63</v>
      </c>
      <c r="J853" t="s">
        <v>41</v>
      </c>
      <c r="K853" t="s">
        <v>58</v>
      </c>
      <c r="L853" s="19">
        <v>1</v>
      </c>
      <c r="M853" s="20">
        <v>1378000</v>
      </c>
      <c r="N853" s="20">
        <v>1208700</v>
      </c>
      <c r="O853" s="20">
        <f t="shared" si="41"/>
        <v>169300</v>
      </c>
      <c r="P853" t="s">
        <v>72</v>
      </c>
    </row>
    <row r="854" spans="1:16">
      <c r="A854" t="s">
        <v>934</v>
      </c>
      <c r="B854" s="18">
        <v>46249</v>
      </c>
      <c r="C854" s="19">
        <f t="shared" si="39"/>
        <v>2026</v>
      </c>
      <c r="D854" s="19" t="str">
        <f t="shared" si="40"/>
        <v>Aug</v>
      </c>
      <c r="E854" t="s">
        <v>33</v>
      </c>
      <c r="F854" t="s">
        <v>34</v>
      </c>
      <c r="G854" t="s">
        <v>34</v>
      </c>
      <c r="H854" t="s">
        <v>35</v>
      </c>
      <c r="I854" t="s">
        <v>21</v>
      </c>
      <c r="J854" t="s">
        <v>22</v>
      </c>
      <c r="K854" t="s">
        <v>23</v>
      </c>
      <c r="L854" s="19">
        <v>1</v>
      </c>
      <c r="M854" s="20">
        <v>1849000</v>
      </c>
      <c r="N854" s="20">
        <v>1543400</v>
      </c>
      <c r="O854" s="20">
        <f t="shared" si="41"/>
        <v>305600</v>
      </c>
      <c r="P854" t="s">
        <v>24</v>
      </c>
    </row>
    <row r="855" spans="1:16">
      <c r="A855" t="s">
        <v>935</v>
      </c>
      <c r="B855" s="18">
        <v>46250</v>
      </c>
      <c r="C855" s="19">
        <f t="shared" si="39"/>
        <v>2026</v>
      </c>
      <c r="D855" s="19" t="str">
        <f t="shared" si="40"/>
        <v>Aug</v>
      </c>
      <c r="E855" t="s">
        <v>17</v>
      </c>
      <c r="F855" t="s">
        <v>51</v>
      </c>
      <c r="G855" t="s">
        <v>98</v>
      </c>
      <c r="H855" t="s">
        <v>99</v>
      </c>
      <c r="I855" t="s">
        <v>48</v>
      </c>
      <c r="J855" t="s">
        <v>49</v>
      </c>
      <c r="K855" t="s">
        <v>42</v>
      </c>
      <c r="L855" s="19">
        <v>1</v>
      </c>
      <c r="M855" s="20">
        <v>1225000</v>
      </c>
      <c r="N855" s="20">
        <v>1037400</v>
      </c>
      <c r="O855" s="20">
        <f t="shared" si="41"/>
        <v>187600</v>
      </c>
      <c r="P855" t="s">
        <v>54</v>
      </c>
    </row>
    <row r="856" spans="1:16">
      <c r="A856" t="s">
        <v>936</v>
      </c>
      <c r="B856" s="18">
        <v>46250</v>
      </c>
      <c r="C856" s="19">
        <f t="shared" si="39"/>
        <v>2026</v>
      </c>
      <c r="D856" s="19" t="str">
        <f t="shared" si="40"/>
        <v>Aug</v>
      </c>
      <c r="E856" t="s">
        <v>17</v>
      </c>
      <c r="F856" t="s">
        <v>18</v>
      </c>
      <c r="G856" t="s">
        <v>19</v>
      </c>
      <c r="H856" t="s">
        <v>20</v>
      </c>
      <c r="I856" t="s">
        <v>68</v>
      </c>
      <c r="J856" t="s">
        <v>49</v>
      </c>
      <c r="K856" t="s">
        <v>58</v>
      </c>
      <c r="L856" s="19">
        <v>1</v>
      </c>
      <c r="M856" s="20">
        <v>910000</v>
      </c>
      <c r="N856" s="20">
        <v>768700</v>
      </c>
      <c r="O856" s="20">
        <f t="shared" si="41"/>
        <v>141300</v>
      </c>
      <c r="P856" t="s">
        <v>24</v>
      </c>
    </row>
    <row r="857" spans="1:16">
      <c r="A857" t="s">
        <v>937</v>
      </c>
      <c r="B857" s="18">
        <v>46251</v>
      </c>
      <c r="C857" s="19">
        <f t="shared" si="39"/>
        <v>2026</v>
      </c>
      <c r="D857" s="19" t="str">
        <f t="shared" si="40"/>
        <v>Aug</v>
      </c>
      <c r="E857" t="s">
        <v>44</v>
      </c>
      <c r="F857" t="s">
        <v>118</v>
      </c>
      <c r="G857" t="s">
        <v>119</v>
      </c>
      <c r="H857" t="s">
        <v>120</v>
      </c>
      <c r="I857" t="s">
        <v>56</v>
      </c>
      <c r="J857" t="s">
        <v>57</v>
      </c>
      <c r="K857" t="s">
        <v>58</v>
      </c>
      <c r="L857" s="19">
        <v>1</v>
      </c>
      <c r="M857" s="20">
        <v>1184000</v>
      </c>
      <c r="N857" s="20">
        <v>996000</v>
      </c>
      <c r="O857" s="20">
        <f t="shared" si="41"/>
        <v>188000</v>
      </c>
      <c r="P857" t="s">
        <v>37</v>
      </c>
    </row>
    <row r="858" spans="1:16">
      <c r="A858" t="s">
        <v>938</v>
      </c>
      <c r="B858" s="18">
        <v>46251</v>
      </c>
      <c r="C858" s="19">
        <f t="shared" si="39"/>
        <v>2026</v>
      </c>
      <c r="D858" s="19" t="str">
        <f t="shared" si="40"/>
        <v>Aug</v>
      </c>
      <c r="E858" t="s">
        <v>44</v>
      </c>
      <c r="F858" t="s">
        <v>118</v>
      </c>
      <c r="G858" t="s">
        <v>119</v>
      </c>
      <c r="H858" t="s">
        <v>120</v>
      </c>
      <c r="I858" t="s">
        <v>121</v>
      </c>
      <c r="J858" t="s">
        <v>57</v>
      </c>
      <c r="K858" t="s">
        <v>42</v>
      </c>
      <c r="L858" s="19">
        <v>1</v>
      </c>
      <c r="M858" s="20">
        <v>1625000</v>
      </c>
      <c r="N858" s="20">
        <v>1302700</v>
      </c>
      <c r="O858" s="20">
        <f t="shared" si="41"/>
        <v>322300</v>
      </c>
      <c r="P858" t="s">
        <v>37</v>
      </c>
    </row>
    <row r="859" spans="1:16">
      <c r="A859" t="s">
        <v>939</v>
      </c>
      <c r="B859" s="18">
        <v>46252</v>
      </c>
      <c r="C859" s="19">
        <f t="shared" si="39"/>
        <v>2026</v>
      </c>
      <c r="D859" s="19" t="str">
        <f t="shared" si="40"/>
        <v>Aug</v>
      </c>
      <c r="E859" t="s">
        <v>44</v>
      </c>
      <c r="F859" t="s">
        <v>45</v>
      </c>
      <c r="G859" t="s">
        <v>46</v>
      </c>
      <c r="H859" t="s">
        <v>47</v>
      </c>
      <c r="I859" t="s">
        <v>68</v>
      </c>
      <c r="J859" t="s">
        <v>49</v>
      </c>
      <c r="K859" t="s">
        <v>58</v>
      </c>
      <c r="L859" s="19">
        <v>1</v>
      </c>
      <c r="M859" s="20">
        <v>892000</v>
      </c>
      <c r="N859" s="20">
        <v>761100</v>
      </c>
      <c r="O859" s="20">
        <f t="shared" si="41"/>
        <v>130900</v>
      </c>
      <c r="P859" t="s">
        <v>31</v>
      </c>
    </row>
    <row r="860" spans="1:16">
      <c r="A860" t="s">
        <v>940</v>
      </c>
      <c r="B860" s="18">
        <v>46252</v>
      </c>
      <c r="C860" s="19">
        <f t="shared" si="39"/>
        <v>2026</v>
      </c>
      <c r="D860" s="19" t="str">
        <f t="shared" si="40"/>
        <v>Aug</v>
      </c>
      <c r="E860" t="s">
        <v>26</v>
      </c>
      <c r="F860" t="s">
        <v>65</v>
      </c>
      <c r="G860" t="s">
        <v>66</v>
      </c>
      <c r="H860" t="s">
        <v>67</v>
      </c>
      <c r="I860" t="s">
        <v>84</v>
      </c>
      <c r="J860" t="s">
        <v>22</v>
      </c>
      <c r="K860" t="s">
        <v>23</v>
      </c>
      <c r="L860" s="19">
        <v>1</v>
      </c>
      <c r="M860" s="20">
        <v>6544000</v>
      </c>
      <c r="N860" s="20">
        <v>5437600</v>
      </c>
      <c r="O860" s="20">
        <f t="shared" si="41"/>
        <v>1106400</v>
      </c>
      <c r="P860" t="s">
        <v>24</v>
      </c>
    </row>
    <row r="861" spans="1:16">
      <c r="A861" t="s">
        <v>941</v>
      </c>
      <c r="B861" s="18">
        <v>46252</v>
      </c>
      <c r="C861" s="19">
        <f t="shared" si="39"/>
        <v>2026</v>
      </c>
      <c r="D861" s="19" t="str">
        <f t="shared" si="40"/>
        <v>Aug</v>
      </c>
      <c r="E861" t="s">
        <v>33</v>
      </c>
      <c r="F861" t="s">
        <v>81</v>
      </c>
      <c r="G861" t="s">
        <v>82</v>
      </c>
      <c r="H861" t="s">
        <v>83</v>
      </c>
      <c r="I861" t="s">
        <v>48</v>
      </c>
      <c r="J861" t="s">
        <v>49</v>
      </c>
      <c r="K861" t="s">
        <v>42</v>
      </c>
      <c r="L861" s="19">
        <v>1</v>
      </c>
      <c r="M861" s="20">
        <v>1270000</v>
      </c>
      <c r="N861" s="20">
        <v>1081300</v>
      </c>
      <c r="O861" s="20">
        <f t="shared" si="41"/>
        <v>188700</v>
      </c>
      <c r="P861" t="s">
        <v>78</v>
      </c>
    </row>
    <row r="862" spans="1:16">
      <c r="A862" t="s">
        <v>942</v>
      </c>
      <c r="B862" s="18">
        <v>46254</v>
      </c>
      <c r="C862" s="19">
        <f t="shared" si="39"/>
        <v>2026</v>
      </c>
      <c r="D862" s="19" t="str">
        <f t="shared" si="40"/>
        <v>Aug</v>
      </c>
      <c r="E862" t="s">
        <v>17</v>
      </c>
      <c r="F862" t="s">
        <v>18</v>
      </c>
      <c r="G862" t="s">
        <v>19</v>
      </c>
      <c r="H862" t="s">
        <v>74</v>
      </c>
      <c r="I862" t="s">
        <v>30</v>
      </c>
      <c r="J862" t="s">
        <v>22</v>
      </c>
      <c r="K862" t="s">
        <v>23</v>
      </c>
      <c r="L862" s="19">
        <v>1</v>
      </c>
      <c r="M862" s="20">
        <v>1791000</v>
      </c>
      <c r="N862" s="20">
        <v>1572300</v>
      </c>
      <c r="O862" s="20">
        <f t="shared" si="41"/>
        <v>218700</v>
      </c>
      <c r="P862" t="s">
        <v>78</v>
      </c>
    </row>
    <row r="863" spans="1:16">
      <c r="A863" t="s">
        <v>943</v>
      </c>
      <c r="B863" s="18">
        <v>46254</v>
      </c>
      <c r="C863" s="19">
        <f t="shared" si="39"/>
        <v>2026</v>
      </c>
      <c r="D863" s="19" t="str">
        <f t="shared" si="40"/>
        <v>Aug</v>
      </c>
      <c r="E863" t="s">
        <v>17</v>
      </c>
      <c r="F863" t="s">
        <v>18</v>
      </c>
      <c r="G863" t="s">
        <v>19</v>
      </c>
      <c r="H863" t="s">
        <v>74</v>
      </c>
      <c r="I863" t="s">
        <v>40</v>
      </c>
      <c r="J863" t="s">
        <v>41</v>
      </c>
      <c r="K863" t="s">
        <v>42</v>
      </c>
      <c r="L863" s="19">
        <v>1</v>
      </c>
      <c r="M863" s="20">
        <v>1726000</v>
      </c>
      <c r="N863" s="20">
        <v>1499600</v>
      </c>
      <c r="O863" s="20">
        <f t="shared" si="41"/>
        <v>226400</v>
      </c>
      <c r="P863" t="s">
        <v>31</v>
      </c>
    </row>
    <row r="864" spans="1:16">
      <c r="A864" t="s">
        <v>944</v>
      </c>
      <c r="B864" s="18">
        <v>46255</v>
      </c>
      <c r="C864" s="19">
        <f t="shared" si="39"/>
        <v>2026</v>
      </c>
      <c r="D864" s="19" t="str">
        <f t="shared" si="40"/>
        <v>Aug</v>
      </c>
      <c r="E864" t="s">
        <v>17</v>
      </c>
      <c r="F864" t="s">
        <v>18</v>
      </c>
      <c r="G864" t="s">
        <v>19</v>
      </c>
      <c r="H864" t="s">
        <v>20</v>
      </c>
      <c r="I864" t="s">
        <v>21</v>
      </c>
      <c r="J864" t="s">
        <v>22</v>
      </c>
      <c r="K864" t="s">
        <v>23</v>
      </c>
      <c r="L864" s="19">
        <v>1</v>
      </c>
      <c r="M864" s="20">
        <v>1896000</v>
      </c>
      <c r="N864" s="20">
        <v>1619600</v>
      </c>
      <c r="O864" s="20">
        <f t="shared" si="41"/>
        <v>276400</v>
      </c>
      <c r="P864" t="s">
        <v>31</v>
      </c>
    </row>
    <row r="865" spans="1:16">
      <c r="A865" t="s">
        <v>945</v>
      </c>
      <c r="B865" s="18">
        <v>46257</v>
      </c>
      <c r="C865" s="19">
        <f t="shared" si="39"/>
        <v>2026</v>
      </c>
      <c r="D865" s="19" t="str">
        <f t="shared" si="40"/>
        <v>Aug</v>
      </c>
      <c r="E865" t="s">
        <v>26</v>
      </c>
      <c r="F865" t="s">
        <v>27</v>
      </c>
      <c r="G865" t="s">
        <v>28</v>
      </c>
      <c r="H865" t="s">
        <v>29</v>
      </c>
      <c r="I865" t="s">
        <v>36</v>
      </c>
      <c r="J865" t="s">
        <v>22</v>
      </c>
      <c r="K865" t="s">
        <v>23</v>
      </c>
      <c r="L865" s="19">
        <v>1</v>
      </c>
      <c r="M865" s="20">
        <v>12861000</v>
      </c>
      <c r="N865" s="20">
        <v>10826200</v>
      </c>
      <c r="O865" s="20">
        <f t="shared" si="41"/>
        <v>2034800</v>
      </c>
      <c r="P865" t="s">
        <v>31</v>
      </c>
    </row>
    <row r="866" spans="1:16">
      <c r="A866" t="s">
        <v>946</v>
      </c>
      <c r="B866" s="18">
        <v>46257</v>
      </c>
      <c r="C866" s="19">
        <f t="shared" si="39"/>
        <v>2026</v>
      </c>
      <c r="D866" s="19" t="str">
        <f t="shared" si="40"/>
        <v>Aug</v>
      </c>
      <c r="E866" t="s">
        <v>17</v>
      </c>
      <c r="F866" t="s">
        <v>18</v>
      </c>
      <c r="G866" t="s">
        <v>60</v>
      </c>
      <c r="H866" t="s">
        <v>61</v>
      </c>
      <c r="I866" t="s">
        <v>40</v>
      </c>
      <c r="J866" t="s">
        <v>41</v>
      </c>
      <c r="K866" t="s">
        <v>42</v>
      </c>
      <c r="L866" s="19">
        <v>1</v>
      </c>
      <c r="M866" s="20">
        <v>1685000</v>
      </c>
      <c r="N866" s="20">
        <v>1471600</v>
      </c>
      <c r="O866" s="20">
        <f t="shared" si="41"/>
        <v>213400</v>
      </c>
      <c r="P866" t="s">
        <v>31</v>
      </c>
    </row>
    <row r="867" spans="1:16">
      <c r="A867" t="s">
        <v>947</v>
      </c>
      <c r="B867" s="18">
        <v>46257</v>
      </c>
      <c r="C867" s="19">
        <f t="shared" si="39"/>
        <v>2026</v>
      </c>
      <c r="D867" s="19" t="str">
        <f t="shared" si="40"/>
        <v>Aug</v>
      </c>
      <c r="E867" t="s">
        <v>26</v>
      </c>
      <c r="F867" t="s">
        <v>27</v>
      </c>
      <c r="G867" t="s">
        <v>28</v>
      </c>
      <c r="H867" t="s">
        <v>39</v>
      </c>
      <c r="I867" t="s">
        <v>56</v>
      </c>
      <c r="J867" t="s">
        <v>57</v>
      </c>
      <c r="K867" t="s">
        <v>58</v>
      </c>
      <c r="L867" s="19">
        <v>1</v>
      </c>
      <c r="M867" s="20">
        <v>1250000</v>
      </c>
      <c r="N867" s="20">
        <v>1032400</v>
      </c>
      <c r="O867" s="20">
        <f t="shared" si="41"/>
        <v>217600</v>
      </c>
      <c r="P867" t="s">
        <v>78</v>
      </c>
    </row>
    <row r="868" spans="1:16">
      <c r="A868" t="s">
        <v>948</v>
      </c>
      <c r="B868" s="18">
        <v>46257</v>
      </c>
      <c r="C868" s="19">
        <f t="shared" si="39"/>
        <v>2026</v>
      </c>
      <c r="D868" s="19" t="str">
        <f t="shared" si="40"/>
        <v>Aug</v>
      </c>
      <c r="E868" t="s">
        <v>26</v>
      </c>
      <c r="F868" t="s">
        <v>27</v>
      </c>
      <c r="G868" t="s">
        <v>28</v>
      </c>
      <c r="H868" t="s">
        <v>39</v>
      </c>
      <c r="I868" t="s">
        <v>40</v>
      </c>
      <c r="J868" t="s">
        <v>41</v>
      </c>
      <c r="K868" t="s">
        <v>42</v>
      </c>
      <c r="L868" s="19">
        <v>1</v>
      </c>
      <c r="M868" s="20">
        <v>1760000</v>
      </c>
      <c r="N868" s="20">
        <v>1436300</v>
      </c>
      <c r="O868" s="20">
        <f t="shared" si="41"/>
        <v>323700</v>
      </c>
      <c r="P868" t="s">
        <v>72</v>
      </c>
    </row>
    <row r="869" spans="1:16">
      <c r="A869" t="s">
        <v>949</v>
      </c>
      <c r="B869" s="18">
        <v>46257</v>
      </c>
      <c r="C869" s="19">
        <f t="shared" si="39"/>
        <v>2026</v>
      </c>
      <c r="D869" s="19" t="str">
        <f t="shared" si="40"/>
        <v>Aug</v>
      </c>
      <c r="E869" t="s">
        <v>17</v>
      </c>
      <c r="F869" t="s">
        <v>51</v>
      </c>
      <c r="G869" t="s">
        <v>98</v>
      </c>
      <c r="H869" t="s">
        <v>99</v>
      </c>
      <c r="I869" t="s">
        <v>68</v>
      </c>
      <c r="J869" t="s">
        <v>49</v>
      </c>
      <c r="K869" t="s">
        <v>58</v>
      </c>
      <c r="L869" s="19">
        <v>1</v>
      </c>
      <c r="M869" s="20">
        <v>952000</v>
      </c>
      <c r="N869" s="20">
        <v>787400</v>
      </c>
      <c r="O869" s="20">
        <f t="shared" si="41"/>
        <v>164600</v>
      </c>
      <c r="P869" t="s">
        <v>72</v>
      </c>
    </row>
    <row r="870" spans="1:16">
      <c r="A870" t="s">
        <v>950</v>
      </c>
      <c r="B870" s="18">
        <v>46258</v>
      </c>
      <c r="C870" s="19">
        <f t="shared" si="39"/>
        <v>2026</v>
      </c>
      <c r="D870" s="19" t="str">
        <f t="shared" si="40"/>
        <v>Aug</v>
      </c>
      <c r="E870" t="s">
        <v>26</v>
      </c>
      <c r="F870" t="s">
        <v>65</v>
      </c>
      <c r="G870" t="s">
        <v>66</v>
      </c>
      <c r="H870" t="s">
        <v>67</v>
      </c>
      <c r="I870" t="s">
        <v>56</v>
      </c>
      <c r="J870" t="s">
        <v>57</v>
      </c>
      <c r="K870" t="s">
        <v>58</v>
      </c>
      <c r="L870" s="19">
        <v>1</v>
      </c>
      <c r="M870" s="20">
        <v>1224000</v>
      </c>
      <c r="N870" s="20">
        <v>1021100</v>
      </c>
      <c r="O870" s="20">
        <f t="shared" si="41"/>
        <v>202900</v>
      </c>
      <c r="P870" t="s">
        <v>78</v>
      </c>
    </row>
    <row r="871" spans="1:16">
      <c r="A871" t="s">
        <v>951</v>
      </c>
      <c r="B871" s="18">
        <v>46258</v>
      </c>
      <c r="C871" s="19">
        <f t="shared" si="39"/>
        <v>2026</v>
      </c>
      <c r="D871" s="19" t="str">
        <f t="shared" si="40"/>
        <v>Aug</v>
      </c>
      <c r="E871" t="s">
        <v>17</v>
      </c>
      <c r="F871" t="s">
        <v>18</v>
      </c>
      <c r="G871" t="s">
        <v>60</v>
      </c>
      <c r="H871" t="s">
        <v>61</v>
      </c>
      <c r="I871" t="s">
        <v>30</v>
      </c>
      <c r="J871" t="s">
        <v>22</v>
      </c>
      <c r="K871" t="s">
        <v>23</v>
      </c>
      <c r="L871" s="19">
        <v>1</v>
      </c>
      <c r="M871" s="20">
        <v>1829000</v>
      </c>
      <c r="N871" s="20">
        <v>1467100</v>
      </c>
      <c r="O871" s="20">
        <f t="shared" si="41"/>
        <v>361900</v>
      </c>
      <c r="P871" t="s">
        <v>31</v>
      </c>
    </row>
    <row r="872" spans="1:16">
      <c r="A872" t="s">
        <v>952</v>
      </c>
      <c r="B872" s="18">
        <v>46258</v>
      </c>
      <c r="C872" s="19">
        <f t="shared" si="39"/>
        <v>2026</v>
      </c>
      <c r="D872" s="19" t="str">
        <f t="shared" si="40"/>
        <v>Aug</v>
      </c>
      <c r="E872" t="s">
        <v>17</v>
      </c>
      <c r="F872" t="s">
        <v>51</v>
      </c>
      <c r="G872" t="s">
        <v>98</v>
      </c>
      <c r="H872" t="s">
        <v>99</v>
      </c>
      <c r="I872" t="s">
        <v>56</v>
      </c>
      <c r="J872" t="s">
        <v>57</v>
      </c>
      <c r="K872" t="s">
        <v>58</v>
      </c>
      <c r="L872" s="19">
        <v>1</v>
      </c>
      <c r="M872" s="20">
        <v>1239000</v>
      </c>
      <c r="N872" s="20">
        <v>1034800</v>
      </c>
      <c r="O872" s="20">
        <f t="shared" si="41"/>
        <v>204200</v>
      </c>
      <c r="P872" t="s">
        <v>24</v>
      </c>
    </row>
    <row r="873" spans="1:16">
      <c r="A873" t="s">
        <v>953</v>
      </c>
      <c r="B873" s="18">
        <v>46258</v>
      </c>
      <c r="C873" s="19">
        <f t="shared" si="39"/>
        <v>2026</v>
      </c>
      <c r="D873" s="19" t="str">
        <f t="shared" si="40"/>
        <v>Aug</v>
      </c>
      <c r="E873" t="s">
        <v>33</v>
      </c>
      <c r="F873" t="s">
        <v>34</v>
      </c>
      <c r="G873" t="s">
        <v>34</v>
      </c>
      <c r="H873" t="s">
        <v>35</v>
      </c>
      <c r="I873" t="s">
        <v>48</v>
      </c>
      <c r="J873" t="s">
        <v>49</v>
      </c>
      <c r="K873" t="s">
        <v>42</v>
      </c>
      <c r="L873" s="19">
        <v>1</v>
      </c>
      <c r="M873" s="20">
        <v>1282000</v>
      </c>
      <c r="N873" s="20">
        <v>1081000</v>
      </c>
      <c r="O873" s="20">
        <f t="shared" si="41"/>
        <v>201000</v>
      </c>
      <c r="P873" t="s">
        <v>37</v>
      </c>
    </row>
    <row r="874" spans="1:16">
      <c r="A874" t="s">
        <v>954</v>
      </c>
      <c r="B874" s="18">
        <v>46258</v>
      </c>
      <c r="C874" s="19">
        <f t="shared" si="39"/>
        <v>2026</v>
      </c>
      <c r="D874" s="19" t="str">
        <f t="shared" si="40"/>
        <v>Aug</v>
      </c>
      <c r="E874" t="s">
        <v>26</v>
      </c>
      <c r="F874" t="s">
        <v>27</v>
      </c>
      <c r="G874" t="s">
        <v>28</v>
      </c>
      <c r="H874" t="s">
        <v>29</v>
      </c>
      <c r="I874" t="s">
        <v>71</v>
      </c>
      <c r="J874" t="s">
        <v>49</v>
      </c>
      <c r="K874" t="s">
        <v>58</v>
      </c>
      <c r="L874" s="19">
        <v>1</v>
      </c>
      <c r="M874" s="20">
        <v>1024000</v>
      </c>
      <c r="N874" s="20">
        <v>855000</v>
      </c>
      <c r="O874" s="20">
        <f t="shared" si="41"/>
        <v>169000</v>
      </c>
      <c r="P874" t="s">
        <v>31</v>
      </c>
    </row>
    <row r="875" spans="1:16">
      <c r="A875" t="s">
        <v>955</v>
      </c>
      <c r="B875" s="18">
        <v>46258</v>
      </c>
      <c r="C875" s="19">
        <f t="shared" si="39"/>
        <v>2026</v>
      </c>
      <c r="D875" s="19" t="str">
        <f t="shared" si="40"/>
        <v>Aug</v>
      </c>
      <c r="E875" t="s">
        <v>17</v>
      </c>
      <c r="F875" t="s">
        <v>18</v>
      </c>
      <c r="G875" t="s">
        <v>19</v>
      </c>
      <c r="H875" t="s">
        <v>74</v>
      </c>
      <c r="I875" t="s">
        <v>48</v>
      </c>
      <c r="J875" t="s">
        <v>49</v>
      </c>
      <c r="K875" t="s">
        <v>42</v>
      </c>
      <c r="L875" s="19">
        <v>1</v>
      </c>
      <c r="M875" s="20">
        <v>1267000</v>
      </c>
      <c r="N875" s="20">
        <v>1078200</v>
      </c>
      <c r="O875" s="20">
        <f t="shared" si="41"/>
        <v>188800</v>
      </c>
      <c r="P875" t="s">
        <v>31</v>
      </c>
    </row>
    <row r="876" spans="1:16">
      <c r="A876" t="s">
        <v>956</v>
      </c>
      <c r="B876" s="18">
        <v>46258</v>
      </c>
      <c r="C876" s="19">
        <f t="shared" si="39"/>
        <v>2026</v>
      </c>
      <c r="D876" s="19" t="str">
        <f t="shared" si="40"/>
        <v>Aug</v>
      </c>
      <c r="E876" t="s">
        <v>17</v>
      </c>
      <c r="F876" t="s">
        <v>51</v>
      </c>
      <c r="G876" t="s">
        <v>52</v>
      </c>
      <c r="H876" t="s">
        <v>53</v>
      </c>
      <c r="I876" t="s">
        <v>40</v>
      </c>
      <c r="J876" t="s">
        <v>41</v>
      </c>
      <c r="K876" t="s">
        <v>42</v>
      </c>
      <c r="L876" s="19">
        <v>1</v>
      </c>
      <c r="M876" s="20">
        <v>1769000</v>
      </c>
      <c r="N876" s="20">
        <v>1508700</v>
      </c>
      <c r="O876" s="20">
        <f t="shared" si="41"/>
        <v>260300</v>
      </c>
      <c r="P876" t="s">
        <v>54</v>
      </c>
    </row>
    <row r="877" spans="1:16">
      <c r="A877" t="s">
        <v>957</v>
      </c>
      <c r="B877" s="18">
        <v>46259</v>
      </c>
      <c r="C877" s="19">
        <f t="shared" si="39"/>
        <v>2026</v>
      </c>
      <c r="D877" s="19" t="str">
        <f t="shared" si="40"/>
        <v>Aug</v>
      </c>
      <c r="E877" t="s">
        <v>26</v>
      </c>
      <c r="F877" t="s">
        <v>65</v>
      </c>
      <c r="G877" t="s">
        <v>66</v>
      </c>
      <c r="H877" t="s">
        <v>67</v>
      </c>
      <c r="I877" t="s">
        <v>56</v>
      </c>
      <c r="J877" t="s">
        <v>57</v>
      </c>
      <c r="K877" t="s">
        <v>58</v>
      </c>
      <c r="L877" s="19">
        <v>1</v>
      </c>
      <c r="M877" s="20">
        <v>1182000</v>
      </c>
      <c r="N877" s="20">
        <v>947700</v>
      </c>
      <c r="O877" s="20">
        <f t="shared" si="41"/>
        <v>234300</v>
      </c>
      <c r="P877" t="s">
        <v>31</v>
      </c>
    </row>
    <row r="878" spans="1:16">
      <c r="A878" t="s">
        <v>958</v>
      </c>
      <c r="B878" s="18">
        <v>46260</v>
      </c>
      <c r="C878" s="19">
        <f t="shared" si="39"/>
        <v>2026</v>
      </c>
      <c r="D878" s="19" t="str">
        <f t="shared" si="40"/>
        <v>Aug</v>
      </c>
      <c r="E878" t="s">
        <v>33</v>
      </c>
      <c r="F878" t="s">
        <v>34</v>
      </c>
      <c r="G878" t="s">
        <v>34</v>
      </c>
      <c r="H878" t="s">
        <v>35</v>
      </c>
      <c r="I878" t="s">
        <v>63</v>
      </c>
      <c r="J878" t="s">
        <v>41</v>
      </c>
      <c r="K878" t="s">
        <v>58</v>
      </c>
      <c r="L878" s="19">
        <v>1</v>
      </c>
      <c r="M878" s="20">
        <v>1393000</v>
      </c>
      <c r="N878" s="20">
        <v>1159600</v>
      </c>
      <c r="O878" s="20">
        <f t="shared" si="41"/>
        <v>233400</v>
      </c>
      <c r="P878" t="s">
        <v>31</v>
      </c>
    </row>
    <row r="879" spans="1:16">
      <c r="A879" t="s">
        <v>959</v>
      </c>
      <c r="B879" s="18">
        <v>46261</v>
      </c>
      <c r="C879" s="19">
        <f t="shared" si="39"/>
        <v>2026</v>
      </c>
      <c r="D879" s="19" t="str">
        <f t="shared" si="40"/>
        <v>Aug</v>
      </c>
      <c r="E879" t="s">
        <v>26</v>
      </c>
      <c r="F879" t="s">
        <v>131</v>
      </c>
      <c r="G879" t="s">
        <v>132</v>
      </c>
      <c r="H879" t="s">
        <v>133</v>
      </c>
      <c r="I879" t="s">
        <v>71</v>
      </c>
      <c r="J879" t="s">
        <v>49</v>
      </c>
      <c r="K879" t="s">
        <v>58</v>
      </c>
      <c r="L879" s="19">
        <v>1</v>
      </c>
      <c r="M879" s="20">
        <v>994000</v>
      </c>
      <c r="N879" s="20">
        <v>857700</v>
      </c>
      <c r="O879" s="20">
        <f t="shared" si="41"/>
        <v>136300</v>
      </c>
      <c r="P879" t="s">
        <v>24</v>
      </c>
    </row>
    <row r="880" spans="1:16">
      <c r="A880" t="s">
        <v>960</v>
      </c>
      <c r="B880" s="18">
        <v>46263</v>
      </c>
      <c r="C880" s="19">
        <f t="shared" si="39"/>
        <v>2026</v>
      </c>
      <c r="D880" s="19" t="str">
        <f t="shared" si="40"/>
        <v>Aug</v>
      </c>
      <c r="E880" t="s">
        <v>17</v>
      </c>
      <c r="F880" t="s">
        <v>18</v>
      </c>
      <c r="G880" t="s">
        <v>19</v>
      </c>
      <c r="H880" t="s">
        <v>20</v>
      </c>
      <c r="I880" t="s">
        <v>68</v>
      </c>
      <c r="J880" t="s">
        <v>49</v>
      </c>
      <c r="K880" t="s">
        <v>58</v>
      </c>
      <c r="L880" s="19">
        <v>1</v>
      </c>
      <c r="M880" s="20">
        <v>904000</v>
      </c>
      <c r="N880" s="20">
        <v>751500</v>
      </c>
      <c r="O880" s="20">
        <f t="shared" si="41"/>
        <v>152500</v>
      </c>
      <c r="P880" t="s">
        <v>37</v>
      </c>
    </row>
    <row r="881" spans="1:16">
      <c r="A881" t="s">
        <v>961</v>
      </c>
      <c r="B881" s="18">
        <v>46263</v>
      </c>
      <c r="C881" s="19">
        <f t="shared" si="39"/>
        <v>2026</v>
      </c>
      <c r="D881" s="19" t="str">
        <f t="shared" si="40"/>
        <v>Aug</v>
      </c>
      <c r="E881" t="s">
        <v>17</v>
      </c>
      <c r="F881" t="s">
        <v>18</v>
      </c>
      <c r="G881" t="s">
        <v>19</v>
      </c>
      <c r="H881" t="s">
        <v>20</v>
      </c>
      <c r="I881" t="s">
        <v>68</v>
      </c>
      <c r="J881" t="s">
        <v>49</v>
      </c>
      <c r="K881" t="s">
        <v>58</v>
      </c>
      <c r="L881" s="19">
        <v>1</v>
      </c>
      <c r="M881" s="20">
        <v>950000</v>
      </c>
      <c r="N881" s="20">
        <v>819900</v>
      </c>
      <c r="O881" s="20">
        <f t="shared" si="41"/>
        <v>130100</v>
      </c>
      <c r="P881" t="s">
        <v>78</v>
      </c>
    </row>
    <row r="882" spans="1:16">
      <c r="A882" t="s">
        <v>962</v>
      </c>
      <c r="B882" s="18">
        <v>46263</v>
      </c>
      <c r="C882" s="19">
        <f t="shared" si="39"/>
        <v>2026</v>
      </c>
      <c r="D882" s="19" t="str">
        <f t="shared" si="40"/>
        <v>Aug</v>
      </c>
      <c r="E882" t="s">
        <v>17</v>
      </c>
      <c r="F882" t="s">
        <v>51</v>
      </c>
      <c r="G882" t="s">
        <v>52</v>
      </c>
      <c r="H882" t="s">
        <v>70</v>
      </c>
      <c r="I882" t="s">
        <v>71</v>
      </c>
      <c r="J882" t="s">
        <v>49</v>
      </c>
      <c r="K882" t="s">
        <v>58</v>
      </c>
      <c r="L882" s="19">
        <v>1</v>
      </c>
      <c r="M882" s="20">
        <v>986000</v>
      </c>
      <c r="N882" s="20">
        <v>798600</v>
      </c>
      <c r="O882" s="20">
        <f t="shared" si="41"/>
        <v>187400</v>
      </c>
      <c r="P882" t="s">
        <v>54</v>
      </c>
    </row>
    <row r="883" spans="1:16">
      <c r="A883" t="s">
        <v>963</v>
      </c>
      <c r="B883" s="18">
        <v>46263</v>
      </c>
      <c r="C883" s="19">
        <f t="shared" si="39"/>
        <v>2026</v>
      </c>
      <c r="D883" s="19" t="str">
        <f t="shared" si="40"/>
        <v>Aug</v>
      </c>
      <c r="E883" t="s">
        <v>17</v>
      </c>
      <c r="F883" t="s">
        <v>18</v>
      </c>
      <c r="G883" t="s">
        <v>19</v>
      </c>
      <c r="H883" t="s">
        <v>74</v>
      </c>
      <c r="I883" t="s">
        <v>30</v>
      </c>
      <c r="J883" t="s">
        <v>22</v>
      </c>
      <c r="K883" t="s">
        <v>23</v>
      </c>
      <c r="L883" s="19">
        <v>1</v>
      </c>
      <c r="M883" s="20">
        <v>1799000</v>
      </c>
      <c r="N883" s="20">
        <v>1547200</v>
      </c>
      <c r="O883" s="20">
        <f t="shared" si="41"/>
        <v>251800</v>
      </c>
      <c r="P883" t="s">
        <v>54</v>
      </c>
    </row>
    <row r="884" spans="1:16">
      <c r="A884" t="s">
        <v>964</v>
      </c>
      <c r="B884" s="18">
        <v>46264</v>
      </c>
      <c r="C884" s="19">
        <f t="shared" si="39"/>
        <v>2026</v>
      </c>
      <c r="D884" s="19" t="str">
        <f t="shared" si="40"/>
        <v>Aug</v>
      </c>
      <c r="E884" t="s">
        <v>26</v>
      </c>
      <c r="F884" t="s">
        <v>131</v>
      </c>
      <c r="G884" t="s">
        <v>132</v>
      </c>
      <c r="H884" t="s">
        <v>133</v>
      </c>
      <c r="I884" t="s">
        <v>21</v>
      </c>
      <c r="J884" t="s">
        <v>22</v>
      </c>
      <c r="K884" t="s">
        <v>23</v>
      </c>
      <c r="L884" s="19">
        <v>1</v>
      </c>
      <c r="M884" s="20">
        <v>1778000</v>
      </c>
      <c r="N884" s="20">
        <v>1481200</v>
      </c>
      <c r="O884" s="20">
        <f t="shared" si="41"/>
        <v>296800</v>
      </c>
      <c r="P884" t="s">
        <v>37</v>
      </c>
    </row>
    <row r="885" spans="1:16">
      <c r="A885" t="s">
        <v>965</v>
      </c>
      <c r="B885" s="18">
        <v>46264</v>
      </c>
      <c r="C885" s="19">
        <f t="shared" si="39"/>
        <v>2026</v>
      </c>
      <c r="D885" s="19" t="str">
        <f t="shared" si="40"/>
        <v>Aug</v>
      </c>
      <c r="E885" t="s">
        <v>17</v>
      </c>
      <c r="F885" t="s">
        <v>51</v>
      </c>
      <c r="G885" t="s">
        <v>98</v>
      </c>
      <c r="H885" t="s">
        <v>99</v>
      </c>
      <c r="I885" t="s">
        <v>171</v>
      </c>
      <c r="J885" t="s">
        <v>22</v>
      </c>
      <c r="K885" t="s">
        <v>42</v>
      </c>
      <c r="L885" s="19">
        <v>1</v>
      </c>
      <c r="M885" s="20">
        <v>6160000</v>
      </c>
      <c r="N885" s="20">
        <v>5319200</v>
      </c>
      <c r="O885" s="20">
        <f t="shared" si="41"/>
        <v>840800</v>
      </c>
      <c r="P885" t="s">
        <v>31</v>
      </c>
    </row>
    <row r="886" spans="1:16">
      <c r="A886" t="s">
        <v>966</v>
      </c>
      <c r="B886" s="18">
        <v>46264</v>
      </c>
      <c r="C886" s="19">
        <f t="shared" si="39"/>
        <v>2026</v>
      </c>
      <c r="D886" s="19" t="str">
        <f t="shared" si="40"/>
        <v>Aug</v>
      </c>
      <c r="E886" t="s">
        <v>17</v>
      </c>
      <c r="F886" t="s">
        <v>18</v>
      </c>
      <c r="G886" t="s">
        <v>19</v>
      </c>
      <c r="H886" t="s">
        <v>74</v>
      </c>
      <c r="I886" t="s">
        <v>56</v>
      </c>
      <c r="J886" t="s">
        <v>57</v>
      </c>
      <c r="K886" t="s">
        <v>58</v>
      </c>
      <c r="L886" s="19">
        <v>1</v>
      </c>
      <c r="M886" s="20">
        <v>1178000</v>
      </c>
      <c r="N886" s="20">
        <v>986800</v>
      </c>
      <c r="O886" s="20">
        <f t="shared" si="41"/>
        <v>191200</v>
      </c>
      <c r="P886" t="s">
        <v>78</v>
      </c>
    </row>
    <row r="887" spans="1:16">
      <c r="A887" t="s">
        <v>967</v>
      </c>
      <c r="B887" s="18">
        <v>46264</v>
      </c>
      <c r="C887" s="19">
        <f t="shared" si="39"/>
        <v>2026</v>
      </c>
      <c r="D887" s="19" t="str">
        <f t="shared" si="40"/>
        <v>Aug</v>
      </c>
      <c r="E887" t="s">
        <v>26</v>
      </c>
      <c r="F887" t="s">
        <v>27</v>
      </c>
      <c r="G887" t="s">
        <v>28</v>
      </c>
      <c r="H887" t="s">
        <v>29</v>
      </c>
      <c r="I887" t="s">
        <v>68</v>
      </c>
      <c r="J887" t="s">
        <v>49</v>
      </c>
      <c r="K887" t="s">
        <v>58</v>
      </c>
      <c r="L887" s="19">
        <v>1</v>
      </c>
      <c r="M887" s="20">
        <v>923000</v>
      </c>
      <c r="N887" s="20">
        <v>745300</v>
      </c>
      <c r="O887" s="20">
        <f t="shared" si="41"/>
        <v>177700</v>
      </c>
      <c r="P887" t="s">
        <v>24</v>
      </c>
    </row>
    <row r="888" spans="1:16">
      <c r="A888" t="s">
        <v>968</v>
      </c>
      <c r="B888" s="18">
        <v>46264</v>
      </c>
      <c r="C888" s="19">
        <f t="shared" si="39"/>
        <v>2026</v>
      </c>
      <c r="D888" s="19" t="str">
        <f t="shared" si="40"/>
        <v>Aug</v>
      </c>
      <c r="E888" t="s">
        <v>26</v>
      </c>
      <c r="F888" t="s">
        <v>131</v>
      </c>
      <c r="G888" t="s">
        <v>132</v>
      </c>
      <c r="H888" t="s">
        <v>133</v>
      </c>
      <c r="I888" t="s">
        <v>71</v>
      </c>
      <c r="J888" t="s">
        <v>49</v>
      </c>
      <c r="K888" t="s">
        <v>58</v>
      </c>
      <c r="L888" s="19">
        <v>1</v>
      </c>
      <c r="M888" s="20">
        <v>1007000</v>
      </c>
      <c r="N888" s="20">
        <v>816100</v>
      </c>
      <c r="O888" s="20">
        <f t="shared" si="41"/>
        <v>190900</v>
      </c>
      <c r="P888" t="s">
        <v>37</v>
      </c>
    </row>
    <row r="889" spans="1:16">
      <c r="A889" t="s">
        <v>969</v>
      </c>
      <c r="B889" s="18">
        <v>46264</v>
      </c>
      <c r="C889" s="19">
        <f t="shared" si="39"/>
        <v>2026</v>
      </c>
      <c r="D889" s="19" t="str">
        <f t="shared" si="40"/>
        <v>Aug</v>
      </c>
      <c r="E889" t="s">
        <v>26</v>
      </c>
      <c r="F889" t="s">
        <v>131</v>
      </c>
      <c r="G889" t="s">
        <v>132</v>
      </c>
      <c r="H889" t="s">
        <v>133</v>
      </c>
      <c r="I889" t="s">
        <v>40</v>
      </c>
      <c r="J889" t="s">
        <v>41</v>
      </c>
      <c r="K889" t="s">
        <v>42</v>
      </c>
      <c r="L889" s="19">
        <v>1</v>
      </c>
      <c r="M889" s="20">
        <v>1693000</v>
      </c>
      <c r="N889" s="20">
        <v>1372000</v>
      </c>
      <c r="O889" s="20">
        <f t="shared" si="41"/>
        <v>321000</v>
      </c>
      <c r="P889" t="s">
        <v>54</v>
      </c>
    </row>
    <row r="890" spans="1:16">
      <c r="A890" t="s">
        <v>970</v>
      </c>
      <c r="B890" s="18">
        <v>46265</v>
      </c>
      <c r="C890" s="19">
        <f t="shared" si="39"/>
        <v>2026</v>
      </c>
      <c r="D890" s="19" t="str">
        <f t="shared" si="40"/>
        <v>Aug</v>
      </c>
      <c r="E890" t="s">
        <v>17</v>
      </c>
      <c r="F890" t="s">
        <v>51</v>
      </c>
      <c r="G890" t="s">
        <v>52</v>
      </c>
      <c r="H890" t="s">
        <v>70</v>
      </c>
      <c r="I890" t="s">
        <v>63</v>
      </c>
      <c r="J890" t="s">
        <v>41</v>
      </c>
      <c r="K890" t="s">
        <v>58</v>
      </c>
      <c r="L890" s="19">
        <v>1</v>
      </c>
      <c r="M890" s="20">
        <v>1338000</v>
      </c>
      <c r="N890" s="20">
        <v>1096100</v>
      </c>
      <c r="O890" s="20">
        <f t="shared" si="41"/>
        <v>241900</v>
      </c>
      <c r="P890" t="s">
        <v>31</v>
      </c>
    </row>
    <row r="891" spans="1:16">
      <c r="A891" t="s">
        <v>971</v>
      </c>
      <c r="B891" s="18">
        <v>46266</v>
      </c>
      <c r="C891" s="19">
        <f t="shared" si="39"/>
        <v>2026</v>
      </c>
      <c r="D891" s="19" t="str">
        <f t="shared" si="40"/>
        <v>Sep</v>
      </c>
      <c r="E891" t="s">
        <v>17</v>
      </c>
      <c r="F891" t="s">
        <v>18</v>
      </c>
      <c r="G891" t="s">
        <v>60</v>
      </c>
      <c r="H891" t="s">
        <v>61</v>
      </c>
      <c r="I891" t="s">
        <v>71</v>
      </c>
      <c r="J891" t="s">
        <v>49</v>
      </c>
      <c r="K891" t="s">
        <v>58</v>
      </c>
      <c r="L891" s="19">
        <v>1</v>
      </c>
      <c r="M891" s="20">
        <v>1036000</v>
      </c>
      <c r="N891" s="20">
        <v>848600</v>
      </c>
      <c r="O891" s="20">
        <f t="shared" si="41"/>
        <v>187400</v>
      </c>
      <c r="P891" t="s">
        <v>37</v>
      </c>
    </row>
    <row r="892" spans="1:16">
      <c r="A892" t="s">
        <v>972</v>
      </c>
      <c r="B892" s="18">
        <v>46266</v>
      </c>
      <c r="C892" s="19">
        <f t="shared" si="39"/>
        <v>2026</v>
      </c>
      <c r="D892" s="19" t="str">
        <f t="shared" si="40"/>
        <v>Sep</v>
      </c>
      <c r="E892" t="s">
        <v>17</v>
      </c>
      <c r="F892" t="s">
        <v>18</v>
      </c>
      <c r="G892" t="s">
        <v>19</v>
      </c>
      <c r="H892" t="s">
        <v>74</v>
      </c>
      <c r="I892" t="s">
        <v>30</v>
      </c>
      <c r="J892" t="s">
        <v>22</v>
      </c>
      <c r="K892" t="s">
        <v>23</v>
      </c>
      <c r="L892" s="19">
        <v>1</v>
      </c>
      <c r="M892" s="20">
        <v>1792000</v>
      </c>
      <c r="N892" s="20">
        <v>1528300</v>
      </c>
      <c r="O892" s="20">
        <f t="shared" si="41"/>
        <v>263700</v>
      </c>
      <c r="P892" t="s">
        <v>54</v>
      </c>
    </row>
    <row r="893" spans="1:16">
      <c r="A893" t="s">
        <v>973</v>
      </c>
      <c r="B893" s="18">
        <v>46266</v>
      </c>
      <c r="C893" s="19">
        <f t="shared" si="39"/>
        <v>2026</v>
      </c>
      <c r="D893" s="19" t="str">
        <f t="shared" si="40"/>
        <v>Sep</v>
      </c>
      <c r="E893" t="s">
        <v>33</v>
      </c>
      <c r="F893" t="s">
        <v>92</v>
      </c>
      <c r="G893" t="s">
        <v>93</v>
      </c>
      <c r="H893" t="s">
        <v>94</v>
      </c>
      <c r="I893" t="s">
        <v>56</v>
      </c>
      <c r="J893" t="s">
        <v>57</v>
      </c>
      <c r="K893" t="s">
        <v>58</v>
      </c>
      <c r="L893" s="19">
        <v>1</v>
      </c>
      <c r="M893" s="20">
        <v>1189000</v>
      </c>
      <c r="N893" s="20">
        <v>978400</v>
      </c>
      <c r="O893" s="20">
        <f t="shared" si="41"/>
        <v>210600</v>
      </c>
      <c r="P893" t="s">
        <v>24</v>
      </c>
    </row>
    <row r="894" spans="1:16">
      <c r="A894" t="s">
        <v>974</v>
      </c>
      <c r="B894" s="18">
        <v>46266</v>
      </c>
      <c r="C894" s="19">
        <f t="shared" si="39"/>
        <v>2026</v>
      </c>
      <c r="D894" s="19" t="str">
        <f t="shared" si="40"/>
        <v>Sep</v>
      </c>
      <c r="E894" t="s">
        <v>17</v>
      </c>
      <c r="F894" t="s">
        <v>51</v>
      </c>
      <c r="G894" t="s">
        <v>98</v>
      </c>
      <c r="H894" t="s">
        <v>99</v>
      </c>
      <c r="I894" t="s">
        <v>56</v>
      </c>
      <c r="J894" t="s">
        <v>57</v>
      </c>
      <c r="K894" t="s">
        <v>58</v>
      </c>
      <c r="L894" s="19">
        <v>1</v>
      </c>
      <c r="M894" s="20">
        <v>1200000</v>
      </c>
      <c r="N894" s="20">
        <v>979100</v>
      </c>
      <c r="O894" s="20">
        <f t="shared" si="41"/>
        <v>220900</v>
      </c>
      <c r="P894" t="s">
        <v>24</v>
      </c>
    </row>
    <row r="895" spans="1:16">
      <c r="A895" t="s">
        <v>975</v>
      </c>
      <c r="B895" s="18">
        <v>46267</v>
      </c>
      <c r="C895" s="19">
        <f t="shared" si="39"/>
        <v>2026</v>
      </c>
      <c r="D895" s="19" t="str">
        <f t="shared" si="40"/>
        <v>Sep</v>
      </c>
      <c r="E895" t="s">
        <v>17</v>
      </c>
      <c r="F895" t="s">
        <v>18</v>
      </c>
      <c r="G895" t="s">
        <v>60</v>
      </c>
      <c r="H895" t="s">
        <v>61</v>
      </c>
      <c r="I895" t="s">
        <v>40</v>
      </c>
      <c r="J895" t="s">
        <v>41</v>
      </c>
      <c r="K895" t="s">
        <v>42</v>
      </c>
      <c r="L895" s="19">
        <v>1</v>
      </c>
      <c r="M895" s="20">
        <v>1724000</v>
      </c>
      <c r="N895" s="20">
        <v>1413700</v>
      </c>
      <c r="O895" s="20">
        <f t="shared" si="41"/>
        <v>310300</v>
      </c>
      <c r="P895" t="s">
        <v>31</v>
      </c>
    </row>
    <row r="896" spans="1:16">
      <c r="A896" t="s">
        <v>976</v>
      </c>
      <c r="B896" s="18">
        <v>46267</v>
      </c>
      <c r="C896" s="19">
        <f t="shared" si="39"/>
        <v>2026</v>
      </c>
      <c r="D896" s="19" t="str">
        <f t="shared" si="40"/>
        <v>Sep</v>
      </c>
      <c r="E896" t="s">
        <v>33</v>
      </c>
      <c r="F896" t="s">
        <v>81</v>
      </c>
      <c r="G896" t="s">
        <v>82</v>
      </c>
      <c r="H896" t="s">
        <v>83</v>
      </c>
      <c r="I896" t="s">
        <v>56</v>
      </c>
      <c r="J896" t="s">
        <v>57</v>
      </c>
      <c r="K896" t="s">
        <v>58</v>
      </c>
      <c r="L896" s="19">
        <v>1</v>
      </c>
      <c r="M896" s="20">
        <v>1174000</v>
      </c>
      <c r="N896" s="20">
        <v>961300</v>
      </c>
      <c r="O896" s="20">
        <f t="shared" si="41"/>
        <v>212700</v>
      </c>
      <c r="P896" t="s">
        <v>78</v>
      </c>
    </row>
    <row r="897" spans="1:16">
      <c r="A897" t="s">
        <v>977</v>
      </c>
      <c r="B897" s="18">
        <v>46268</v>
      </c>
      <c r="C897" s="19">
        <f t="shared" si="39"/>
        <v>2026</v>
      </c>
      <c r="D897" s="19" t="str">
        <f t="shared" si="40"/>
        <v>Sep</v>
      </c>
      <c r="E897" t="s">
        <v>26</v>
      </c>
      <c r="F897" t="s">
        <v>27</v>
      </c>
      <c r="G897" t="s">
        <v>28</v>
      </c>
      <c r="H897" t="s">
        <v>29</v>
      </c>
      <c r="I897" t="s">
        <v>121</v>
      </c>
      <c r="J897" t="s">
        <v>57</v>
      </c>
      <c r="K897" t="s">
        <v>42</v>
      </c>
      <c r="L897" s="19">
        <v>1</v>
      </c>
      <c r="M897" s="20">
        <v>1627000</v>
      </c>
      <c r="N897" s="20">
        <v>1403600</v>
      </c>
      <c r="O897" s="20">
        <f t="shared" si="41"/>
        <v>223400</v>
      </c>
      <c r="P897" t="s">
        <v>72</v>
      </c>
    </row>
    <row r="898" spans="1:16">
      <c r="A898" t="s">
        <v>978</v>
      </c>
      <c r="B898" s="18">
        <v>46268</v>
      </c>
      <c r="C898" s="19">
        <f t="shared" ref="C898:C961" si="42">YEAR(B898)</f>
        <v>2026</v>
      </c>
      <c r="D898" s="19" t="str">
        <f t="shared" ref="D898:D961" si="43">CHOOSE(MONTH(B898),"Jan","Feb","Mar","Apr","May","Jun","Jul","Aug","Sep","Oct","Nov","Dec")</f>
        <v>Sep</v>
      </c>
      <c r="E898" t="s">
        <v>26</v>
      </c>
      <c r="F898" t="s">
        <v>131</v>
      </c>
      <c r="G898" t="s">
        <v>132</v>
      </c>
      <c r="H898" t="s">
        <v>133</v>
      </c>
      <c r="I898" t="s">
        <v>68</v>
      </c>
      <c r="J898" t="s">
        <v>49</v>
      </c>
      <c r="K898" t="s">
        <v>58</v>
      </c>
      <c r="L898" s="19">
        <v>1</v>
      </c>
      <c r="M898" s="20">
        <v>942000</v>
      </c>
      <c r="N898" s="20">
        <v>796400</v>
      </c>
      <c r="O898" s="20">
        <f t="shared" ref="O898:O961" si="44">M898-N898</f>
        <v>145600</v>
      </c>
      <c r="P898" t="s">
        <v>24</v>
      </c>
    </row>
    <row r="899" spans="1:16">
      <c r="A899" t="s">
        <v>979</v>
      </c>
      <c r="B899" s="18">
        <v>46269</v>
      </c>
      <c r="C899" s="19">
        <f t="shared" si="42"/>
        <v>2026</v>
      </c>
      <c r="D899" s="19" t="str">
        <f t="shared" si="43"/>
        <v>Sep</v>
      </c>
      <c r="E899" t="s">
        <v>17</v>
      </c>
      <c r="F899" t="s">
        <v>18</v>
      </c>
      <c r="G899" t="s">
        <v>19</v>
      </c>
      <c r="H899" t="s">
        <v>74</v>
      </c>
      <c r="I899" t="s">
        <v>48</v>
      </c>
      <c r="J899" t="s">
        <v>49</v>
      </c>
      <c r="K899" t="s">
        <v>42</v>
      </c>
      <c r="L899" s="19">
        <v>1</v>
      </c>
      <c r="M899" s="20">
        <v>1247000</v>
      </c>
      <c r="N899" s="20">
        <v>1070100</v>
      </c>
      <c r="O899" s="20">
        <f t="shared" si="44"/>
        <v>176900</v>
      </c>
      <c r="P899" t="s">
        <v>31</v>
      </c>
    </row>
    <row r="900" spans="1:16">
      <c r="A900" t="s">
        <v>980</v>
      </c>
      <c r="B900" s="18">
        <v>46270</v>
      </c>
      <c r="C900" s="19">
        <f t="shared" si="42"/>
        <v>2026</v>
      </c>
      <c r="D900" s="19" t="str">
        <f t="shared" si="43"/>
        <v>Sep</v>
      </c>
      <c r="E900" t="s">
        <v>17</v>
      </c>
      <c r="F900" t="s">
        <v>51</v>
      </c>
      <c r="G900" t="s">
        <v>98</v>
      </c>
      <c r="H900" t="s">
        <v>99</v>
      </c>
      <c r="I900" t="s">
        <v>40</v>
      </c>
      <c r="J900" t="s">
        <v>41</v>
      </c>
      <c r="K900" t="s">
        <v>42</v>
      </c>
      <c r="L900" s="19">
        <v>1</v>
      </c>
      <c r="M900" s="20">
        <v>1660000</v>
      </c>
      <c r="N900" s="20">
        <v>1460300</v>
      </c>
      <c r="O900" s="20">
        <f t="shared" si="44"/>
        <v>199700</v>
      </c>
      <c r="P900" t="s">
        <v>24</v>
      </c>
    </row>
    <row r="901" spans="1:16">
      <c r="A901" t="s">
        <v>981</v>
      </c>
      <c r="B901" s="18">
        <v>46270</v>
      </c>
      <c r="C901" s="19">
        <f t="shared" si="42"/>
        <v>2026</v>
      </c>
      <c r="D901" s="19" t="str">
        <f t="shared" si="43"/>
        <v>Sep</v>
      </c>
      <c r="E901" t="s">
        <v>17</v>
      </c>
      <c r="F901" t="s">
        <v>51</v>
      </c>
      <c r="G901" t="s">
        <v>52</v>
      </c>
      <c r="H901" t="s">
        <v>53</v>
      </c>
      <c r="I901" t="s">
        <v>121</v>
      </c>
      <c r="J901" t="s">
        <v>57</v>
      </c>
      <c r="K901" t="s">
        <v>42</v>
      </c>
      <c r="L901" s="19">
        <v>1</v>
      </c>
      <c r="M901" s="20">
        <v>1639000</v>
      </c>
      <c r="N901" s="20">
        <v>1352600</v>
      </c>
      <c r="O901" s="20">
        <f t="shared" si="44"/>
        <v>286400</v>
      </c>
      <c r="P901" t="s">
        <v>24</v>
      </c>
    </row>
    <row r="902" spans="1:16">
      <c r="A902" t="s">
        <v>982</v>
      </c>
      <c r="B902" s="18">
        <v>46271</v>
      </c>
      <c r="C902" s="19">
        <f t="shared" si="42"/>
        <v>2026</v>
      </c>
      <c r="D902" s="19" t="str">
        <f t="shared" si="43"/>
        <v>Sep</v>
      </c>
      <c r="E902" t="s">
        <v>17</v>
      </c>
      <c r="F902" t="s">
        <v>18</v>
      </c>
      <c r="G902" t="s">
        <v>19</v>
      </c>
      <c r="H902" t="s">
        <v>74</v>
      </c>
      <c r="I902" t="s">
        <v>56</v>
      </c>
      <c r="J902" t="s">
        <v>57</v>
      </c>
      <c r="K902" t="s">
        <v>58</v>
      </c>
      <c r="L902" s="19">
        <v>1</v>
      </c>
      <c r="M902" s="20">
        <v>1174000</v>
      </c>
      <c r="N902" s="20">
        <v>998200</v>
      </c>
      <c r="O902" s="20">
        <f t="shared" si="44"/>
        <v>175800</v>
      </c>
      <c r="P902" t="s">
        <v>24</v>
      </c>
    </row>
    <row r="903" spans="1:16">
      <c r="A903" t="s">
        <v>983</v>
      </c>
      <c r="B903" s="18">
        <v>46271</v>
      </c>
      <c r="C903" s="19">
        <f t="shared" si="42"/>
        <v>2026</v>
      </c>
      <c r="D903" s="19" t="str">
        <f t="shared" si="43"/>
        <v>Sep</v>
      </c>
      <c r="E903" t="s">
        <v>17</v>
      </c>
      <c r="F903" t="s">
        <v>51</v>
      </c>
      <c r="G903" t="s">
        <v>52</v>
      </c>
      <c r="H903" t="s">
        <v>70</v>
      </c>
      <c r="I903" t="s">
        <v>56</v>
      </c>
      <c r="J903" t="s">
        <v>57</v>
      </c>
      <c r="K903" t="s">
        <v>58</v>
      </c>
      <c r="L903" s="19">
        <v>1</v>
      </c>
      <c r="M903" s="20">
        <v>1219000</v>
      </c>
      <c r="N903" s="20">
        <v>1010100</v>
      </c>
      <c r="O903" s="20">
        <f t="shared" si="44"/>
        <v>208900</v>
      </c>
      <c r="P903" t="s">
        <v>37</v>
      </c>
    </row>
    <row r="904" spans="1:16">
      <c r="A904" t="s">
        <v>984</v>
      </c>
      <c r="B904" s="18">
        <v>46274</v>
      </c>
      <c r="C904" s="19">
        <f t="shared" si="42"/>
        <v>2026</v>
      </c>
      <c r="D904" s="19" t="str">
        <f t="shared" si="43"/>
        <v>Sep</v>
      </c>
      <c r="E904" t="s">
        <v>33</v>
      </c>
      <c r="F904" t="s">
        <v>34</v>
      </c>
      <c r="G904" t="s">
        <v>34</v>
      </c>
      <c r="H904" t="s">
        <v>102</v>
      </c>
      <c r="I904" t="s">
        <v>121</v>
      </c>
      <c r="J904" t="s">
        <v>57</v>
      </c>
      <c r="K904" t="s">
        <v>42</v>
      </c>
      <c r="L904" s="19">
        <v>2</v>
      </c>
      <c r="M904" s="20">
        <v>3148000</v>
      </c>
      <c r="N904" s="20">
        <v>2602200</v>
      </c>
      <c r="O904" s="20">
        <f t="shared" si="44"/>
        <v>545800</v>
      </c>
      <c r="P904" t="s">
        <v>78</v>
      </c>
    </row>
    <row r="905" spans="1:16">
      <c r="A905" t="s">
        <v>985</v>
      </c>
      <c r="B905" s="18">
        <v>46276</v>
      </c>
      <c r="C905" s="19">
        <f t="shared" si="42"/>
        <v>2026</v>
      </c>
      <c r="D905" s="19" t="str">
        <f t="shared" si="43"/>
        <v>Sep</v>
      </c>
      <c r="E905" t="s">
        <v>26</v>
      </c>
      <c r="F905" t="s">
        <v>65</v>
      </c>
      <c r="G905" t="s">
        <v>66</v>
      </c>
      <c r="H905" t="s">
        <v>67</v>
      </c>
      <c r="I905" t="s">
        <v>68</v>
      </c>
      <c r="J905" t="s">
        <v>49</v>
      </c>
      <c r="K905" t="s">
        <v>58</v>
      </c>
      <c r="L905" s="19">
        <v>1</v>
      </c>
      <c r="M905" s="20">
        <v>895000</v>
      </c>
      <c r="N905" s="20">
        <v>776000</v>
      </c>
      <c r="O905" s="20">
        <f t="shared" si="44"/>
        <v>119000</v>
      </c>
      <c r="P905" t="s">
        <v>37</v>
      </c>
    </row>
    <row r="906" spans="1:16">
      <c r="A906" t="s">
        <v>986</v>
      </c>
      <c r="B906" s="18">
        <v>46278</v>
      </c>
      <c r="C906" s="19">
        <f t="shared" si="42"/>
        <v>2026</v>
      </c>
      <c r="D906" s="19" t="str">
        <f t="shared" si="43"/>
        <v>Sep</v>
      </c>
      <c r="E906" t="s">
        <v>26</v>
      </c>
      <c r="F906" t="s">
        <v>27</v>
      </c>
      <c r="G906" t="s">
        <v>28</v>
      </c>
      <c r="H906" t="s">
        <v>29</v>
      </c>
      <c r="I906" t="s">
        <v>68</v>
      </c>
      <c r="J906" t="s">
        <v>49</v>
      </c>
      <c r="K906" t="s">
        <v>58</v>
      </c>
      <c r="L906" s="19">
        <v>1</v>
      </c>
      <c r="M906" s="20">
        <v>920000</v>
      </c>
      <c r="N906" s="20">
        <v>782600</v>
      </c>
      <c r="O906" s="20">
        <f t="shared" si="44"/>
        <v>137400</v>
      </c>
      <c r="P906" t="s">
        <v>54</v>
      </c>
    </row>
    <row r="907" spans="1:16">
      <c r="A907" t="s">
        <v>987</v>
      </c>
      <c r="B907" s="18">
        <v>46278</v>
      </c>
      <c r="C907" s="19">
        <f t="shared" si="42"/>
        <v>2026</v>
      </c>
      <c r="D907" s="19" t="str">
        <f t="shared" si="43"/>
        <v>Sep</v>
      </c>
      <c r="E907" t="s">
        <v>33</v>
      </c>
      <c r="F907" t="s">
        <v>34</v>
      </c>
      <c r="G907" t="s">
        <v>34</v>
      </c>
      <c r="H907" t="s">
        <v>102</v>
      </c>
      <c r="I907" t="s">
        <v>63</v>
      </c>
      <c r="J907" t="s">
        <v>41</v>
      </c>
      <c r="K907" t="s">
        <v>58</v>
      </c>
      <c r="L907" s="19">
        <v>1</v>
      </c>
      <c r="M907" s="20">
        <v>1362000</v>
      </c>
      <c r="N907" s="20">
        <v>1166500</v>
      </c>
      <c r="O907" s="20">
        <f t="shared" si="44"/>
        <v>195500</v>
      </c>
      <c r="P907" t="s">
        <v>31</v>
      </c>
    </row>
    <row r="908" spans="1:16">
      <c r="A908" t="s">
        <v>988</v>
      </c>
      <c r="B908" s="18">
        <v>46279</v>
      </c>
      <c r="C908" s="19">
        <f t="shared" si="42"/>
        <v>2026</v>
      </c>
      <c r="D908" s="19" t="str">
        <f t="shared" si="43"/>
        <v>Sep</v>
      </c>
      <c r="E908" t="s">
        <v>33</v>
      </c>
      <c r="F908" t="s">
        <v>34</v>
      </c>
      <c r="G908" t="s">
        <v>34</v>
      </c>
      <c r="H908" t="s">
        <v>102</v>
      </c>
      <c r="I908" t="s">
        <v>48</v>
      </c>
      <c r="J908" t="s">
        <v>49</v>
      </c>
      <c r="K908" t="s">
        <v>42</v>
      </c>
      <c r="L908" s="19">
        <v>1</v>
      </c>
      <c r="M908" s="20">
        <v>1278000</v>
      </c>
      <c r="N908" s="20">
        <v>1080900</v>
      </c>
      <c r="O908" s="20">
        <f t="shared" si="44"/>
        <v>197100</v>
      </c>
      <c r="P908" t="s">
        <v>31</v>
      </c>
    </row>
    <row r="909" spans="1:16">
      <c r="A909" t="s">
        <v>989</v>
      </c>
      <c r="B909" s="18">
        <v>46279</v>
      </c>
      <c r="C909" s="19">
        <f t="shared" si="42"/>
        <v>2026</v>
      </c>
      <c r="D909" s="19" t="str">
        <f t="shared" si="43"/>
        <v>Sep</v>
      </c>
      <c r="E909" t="s">
        <v>26</v>
      </c>
      <c r="F909" t="s">
        <v>27</v>
      </c>
      <c r="G909" t="s">
        <v>28</v>
      </c>
      <c r="H909" t="s">
        <v>29</v>
      </c>
      <c r="I909" t="s">
        <v>71</v>
      </c>
      <c r="J909" t="s">
        <v>49</v>
      </c>
      <c r="K909" t="s">
        <v>58</v>
      </c>
      <c r="L909" s="19">
        <v>1</v>
      </c>
      <c r="M909" s="20">
        <v>1015000</v>
      </c>
      <c r="N909" s="20">
        <v>875400</v>
      </c>
      <c r="O909" s="20">
        <f t="shared" si="44"/>
        <v>139600</v>
      </c>
      <c r="P909" t="s">
        <v>37</v>
      </c>
    </row>
    <row r="910" spans="1:16">
      <c r="A910" t="s">
        <v>990</v>
      </c>
      <c r="B910" s="18">
        <v>46280</v>
      </c>
      <c r="C910" s="19">
        <f t="shared" si="42"/>
        <v>2026</v>
      </c>
      <c r="D910" s="19" t="str">
        <f t="shared" si="43"/>
        <v>Sep</v>
      </c>
      <c r="E910" t="s">
        <v>33</v>
      </c>
      <c r="F910" t="s">
        <v>34</v>
      </c>
      <c r="G910" t="s">
        <v>34</v>
      </c>
      <c r="H910" t="s">
        <v>35</v>
      </c>
      <c r="I910" t="s">
        <v>63</v>
      </c>
      <c r="J910" t="s">
        <v>41</v>
      </c>
      <c r="K910" t="s">
        <v>58</v>
      </c>
      <c r="L910" s="19">
        <v>1</v>
      </c>
      <c r="M910" s="20">
        <v>1353000</v>
      </c>
      <c r="N910" s="20">
        <v>1163900</v>
      </c>
      <c r="O910" s="20">
        <f t="shared" si="44"/>
        <v>189100</v>
      </c>
      <c r="P910" t="s">
        <v>72</v>
      </c>
    </row>
    <row r="911" spans="1:16">
      <c r="A911" t="s">
        <v>991</v>
      </c>
      <c r="B911" s="18">
        <v>46280</v>
      </c>
      <c r="C911" s="19">
        <f t="shared" si="42"/>
        <v>2026</v>
      </c>
      <c r="D911" s="19" t="str">
        <f t="shared" si="43"/>
        <v>Sep</v>
      </c>
      <c r="E911" t="s">
        <v>44</v>
      </c>
      <c r="F911" t="s">
        <v>45</v>
      </c>
      <c r="G911" t="s">
        <v>46</v>
      </c>
      <c r="H911" t="s">
        <v>47</v>
      </c>
      <c r="I911" t="s">
        <v>68</v>
      </c>
      <c r="J911" t="s">
        <v>49</v>
      </c>
      <c r="K911" t="s">
        <v>58</v>
      </c>
      <c r="L911" s="19">
        <v>1</v>
      </c>
      <c r="M911" s="20">
        <v>894000</v>
      </c>
      <c r="N911" s="20">
        <v>722400</v>
      </c>
      <c r="O911" s="20">
        <f t="shared" si="44"/>
        <v>171600</v>
      </c>
      <c r="P911" t="s">
        <v>72</v>
      </c>
    </row>
    <row r="912" spans="1:16">
      <c r="A912" t="s">
        <v>992</v>
      </c>
      <c r="B912" s="18">
        <v>46281</v>
      </c>
      <c r="C912" s="19">
        <f t="shared" si="42"/>
        <v>2026</v>
      </c>
      <c r="D912" s="19" t="str">
        <f t="shared" si="43"/>
        <v>Sep</v>
      </c>
      <c r="E912" t="s">
        <v>26</v>
      </c>
      <c r="F912" t="s">
        <v>65</v>
      </c>
      <c r="G912" t="s">
        <v>66</v>
      </c>
      <c r="H912" t="s">
        <v>67</v>
      </c>
      <c r="I912" t="s">
        <v>56</v>
      </c>
      <c r="J912" t="s">
        <v>57</v>
      </c>
      <c r="K912" t="s">
        <v>58</v>
      </c>
      <c r="L912" s="19">
        <v>1</v>
      </c>
      <c r="M912" s="20">
        <v>1195000</v>
      </c>
      <c r="N912" s="20">
        <v>1001300</v>
      </c>
      <c r="O912" s="20">
        <f t="shared" si="44"/>
        <v>193700</v>
      </c>
      <c r="P912" t="s">
        <v>54</v>
      </c>
    </row>
    <row r="913" spans="1:16">
      <c r="A913" t="s">
        <v>993</v>
      </c>
      <c r="B913" s="18">
        <v>46281</v>
      </c>
      <c r="C913" s="19">
        <f t="shared" si="42"/>
        <v>2026</v>
      </c>
      <c r="D913" s="19" t="str">
        <f t="shared" si="43"/>
        <v>Sep</v>
      </c>
      <c r="E913" t="s">
        <v>26</v>
      </c>
      <c r="F913" t="s">
        <v>65</v>
      </c>
      <c r="G913" t="s">
        <v>66</v>
      </c>
      <c r="H913" t="s">
        <v>67</v>
      </c>
      <c r="I913" t="s">
        <v>63</v>
      </c>
      <c r="J913" t="s">
        <v>41</v>
      </c>
      <c r="K913" t="s">
        <v>58</v>
      </c>
      <c r="L913" s="19">
        <v>1</v>
      </c>
      <c r="M913" s="20">
        <v>1401000</v>
      </c>
      <c r="N913" s="20">
        <v>1129800</v>
      </c>
      <c r="O913" s="20">
        <f t="shared" si="44"/>
        <v>271200</v>
      </c>
      <c r="P913" t="s">
        <v>31</v>
      </c>
    </row>
    <row r="914" spans="1:16">
      <c r="A914" t="s">
        <v>994</v>
      </c>
      <c r="B914" s="18">
        <v>46281</v>
      </c>
      <c r="C914" s="19">
        <f t="shared" si="42"/>
        <v>2026</v>
      </c>
      <c r="D914" s="19" t="str">
        <f t="shared" si="43"/>
        <v>Sep</v>
      </c>
      <c r="E914" t="s">
        <v>17</v>
      </c>
      <c r="F914" t="s">
        <v>18</v>
      </c>
      <c r="G914" t="s">
        <v>60</v>
      </c>
      <c r="H914" t="s">
        <v>61</v>
      </c>
      <c r="I914" t="s">
        <v>121</v>
      </c>
      <c r="J914" t="s">
        <v>57</v>
      </c>
      <c r="K914" t="s">
        <v>42</v>
      </c>
      <c r="L914" s="19">
        <v>2</v>
      </c>
      <c r="M914" s="20">
        <v>3096000</v>
      </c>
      <c r="N914" s="20">
        <v>2612300</v>
      </c>
      <c r="O914" s="20">
        <f t="shared" si="44"/>
        <v>483700</v>
      </c>
      <c r="P914" t="s">
        <v>37</v>
      </c>
    </row>
    <row r="915" spans="1:16">
      <c r="A915" t="s">
        <v>995</v>
      </c>
      <c r="B915" s="18">
        <v>46281</v>
      </c>
      <c r="C915" s="19">
        <f t="shared" si="42"/>
        <v>2026</v>
      </c>
      <c r="D915" s="19" t="str">
        <f t="shared" si="43"/>
        <v>Sep</v>
      </c>
      <c r="E915" t="s">
        <v>17</v>
      </c>
      <c r="F915" t="s">
        <v>18</v>
      </c>
      <c r="G915" t="s">
        <v>60</v>
      </c>
      <c r="H915" t="s">
        <v>61</v>
      </c>
      <c r="I915" t="s">
        <v>40</v>
      </c>
      <c r="J915" t="s">
        <v>41</v>
      </c>
      <c r="K915" t="s">
        <v>42</v>
      </c>
      <c r="L915" s="19">
        <v>1</v>
      </c>
      <c r="M915" s="20">
        <v>1764000</v>
      </c>
      <c r="N915" s="20">
        <v>1506700</v>
      </c>
      <c r="O915" s="20">
        <f t="shared" si="44"/>
        <v>257300</v>
      </c>
      <c r="P915" t="s">
        <v>54</v>
      </c>
    </row>
    <row r="916" spans="1:16">
      <c r="A916" t="s">
        <v>996</v>
      </c>
      <c r="B916" s="18">
        <v>46281</v>
      </c>
      <c r="C916" s="19">
        <f t="shared" si="42"/>
        <v>2026</v>
      </c>
      <c r="D916" s="19" t="str">
        <f t="shared" si="43"/>
        <v>Sep</v>
      </c>
      <c r="E916" t="s">
        <v>44</v>
      </c>
      <c r="F916" t="s">
        <v>45</v>
      </c>
      <c r="G916" t="s">
        <v>46</v>
      </c>
      <c r="H916" t="s">
        <v>47</v>
      </c>
      <c r="I916" t="s">
        <v>68</v>
      </c>
      <c r="J916" t="s">
        <v>49</v>
      </c>
      <c r="K916" t="s">
        <v>58</v>
      </c>
      <c r="L916" s="19">
        <v>2</v>
      </c>
      <c r="M916" s="20">
        <v>1871000</v>
      </c>
      <c r="N916" s="20">
        <v>1582600</v>
      </c>
      <c r="O916" s="20">
        <f t="shared" si="44"/>
        <v>288400</v>
      </c>
      <c r="P916" t="s">
        <v>72</v>
      </c>
    </row>
    <row r="917" spans="1:16">
      <c r="A917" t="s">
        <v>997</v>
      </c>
      <c r="B917" s="18">
        <v>46281</v>
      </c>
      <c r="C917" s="19">
        <f t="shared" si="42"/>
        <v>2026</v>
      </c>
      <c r="D917" s="19" t="str">
        <f t="shared" si="43"/>
        <v>Sep</v>
      </c>
      <c r="E917" t="s">
        <v>44</v>
      </c>
      <c r="F917" t="s">
        <v>45</v>
      </c>
      <c r="G917" t="s">
        <v>46</v>
      </c>
      <c r="H917" t="s">
        <v>47</v>
      </c>
      <c r="I917" t="s">
        <v>56</v>
      </c>
      <c r="J917" t="s">
        <v>57</v>
      </c>
      <c r="K917" t="s">
        <v>58</v>
      </c>
      <c r="L917" s="19">
        <v>1</v>
      </c>
      <c r="M917" s="20">
        <v>1210000</v>
      </c>
      <c r="N917" s="20">
        <v>1042900</v>
      </c>
      <c r="O917" s="20">
        <f t="shared" si="44"/>
        <v>167100</v>
      </c>
      <c r="P917" t="s">
        <v>54</v>
      </c>
    </row>
    <row r="918" spans="1:16">
      <c r="A918" t="s">
        <v>998</v>
      </c>
      <c r="B918" s="18">
        <v>46282</v>
      </c>
      <c r="C918" s="19">
        <f t="shared" si="42"/>
        <v>2026</v>
      </c>
      <c r="D918" s="19" t="str">
        <f t="shared" si="43"/>
        <v>Sep</v>
      </c>
      <c r="E918" t="s">
        <v>17</v>
      </c>
      <c r="F918" t="s">
        <v>51</v>
      </c>
      <c r="G918" t="s">
        <v>98</v>
      </c>
      <c r="H918" t="s">
        <v>99</v>
      </c>
      <c r="I918" t="s">
        <v>68</v>
      </c>
      <c r="J918" t="s">
        <v>49</v>
      </c>
      <c r="K918" t="s">
        <v>58</v>
      </c>
      <c r="L918" s="19">
        <v>1</v>
      </c>
      <c r="M918" s="20">
        <v>886000</v>
      </c>
      <c r="N918" s="20">
        <v>766800</v>
      </c>
      <c r="O918" s="20">
        <f t="shared" si="44"/>
        <v>119200</v>
      </c>
      <c r="P918" t="s">
        <v>37</v>
      </c>
    </row>
    <row r="919" spans="1:16">
      <c r="A919" t="s">
        <v>999</v>
      </c>
      <c r="B919" s="18">
        <v>46282</v>
      </c>
      <c r="C919" s="19">
        <f t="shared" si="42"/>
        <v>2026</v>
      </c>
      <c r="D919" s="19" t="str">
        <f t="shared" si="43"/>
        <v>Sep</v>
      </c>
      <c r="E919" t="s">
        <v>26</v>
      </c>
      <c r="F919" t="s">
        <v>131</v>
      </c>
      <c r="G919" t="s">
        <v>132</v>
      </c>
      <c r="H919" t="s">
        <v>133</v>
      </c>
      <c r="I919" t="s">
        <v>121</v>
      </c>
      <c r="J919" t="s">
        <v>57</v>
      </c>
      <c r="K919" t="s">
        <v>42</v>
      </c>
      <c r="L919" s="19">
        <v>1</v>
      </c>
      <c r="M919" s="20">
        <v>1522000</v>
      </c>
      <c r="N919" s="20">
        <v>1284900</v>
      </c>
      <c r="O919" s="20">
        <f t="shared" si="44"/>
        <v>237100</v>
      </c>
      <c r="P919" t="s">
        <v>72</v>
      </c>
    </row>
    <row r="920" spans="1:16">
      <c r="A920" t="s">
        <v>1000</v>
      </c>
      <c r="B920" s="18">
        <v>46283</v>
      </c>
      <c r="C920" s="19">
        <f t="shared" si="42"/>
        <v>2026</v>
      </c>
      <c r="D920" s="19" t="str">
        <f t="shared" si="43"/>
        <v>Sep</v>
      </c>
      <c r="E920" t="s">
        <v>17</v>
      </c>
      <c r="F920" t="s">
        <v>51</v>
      </c>
      <c r="G920" t="s">
        <v>98</v>
      </c>
      <c r="H920" t="s">
        <v>99</v>
      </c>
      <c r="I920" t="s">
        <v>56</v>
      </c>
      <c r="J920" t="s">
        <v>57</v>
      </c>
      <c r="K920" t="s">
        <v>58</v>
      </c>
      <c r="L920" s="19">
        <v>2</v>
      </c>
      <c r="M920" s="20">
        <v>2381000</v>
      </c>
      <c r="N920" s="20">
        <v>1926300</v>
      </c>
      <c r="O920" s="20">
        <f t="shared" si="44"/>
        <v>454700</v>
      </c>
      <c r="P920" t="s">
        <v>24</v>
      </c>
    </row>
    <row r="921" spans="1:16">
      <c r="A921" t="s">
        <v>1001</v>
      </c>
      <c r="B921" s="18">
        <v>46283</v>
      </c>
      <c r="C921" s="19">
        <f t="shared" si="42"/>
        <v>2026</v>
      </c>
      <c r="D921" s="19" t="str">
        <f t="shared" si="43"/>
        <v>Sep</v>
      </c>
      <c r="E921" t="s">
        <v>26</v>
      </c>
      <c r="F921" t="s">
        <v>65</v>
      </c>
      <c r="G921" t="s">
        <v>66</v>
      </c>
      <c r="H921" t="s">
        <v>67</v>
      </c>
      <c r="I921" t="s">
        <v>68</v>
      </c>
      <c r="J921" t="s">
        <v>49</v>
      </c>
      <c r="K921" t="s">
        <v>58</v>
      </c>
      <c r="L921" s="19">
        <v>1</v>
      </c>
      <c r="M921" s="20">
        <v>887000</v>
      </c>
      <c r="N921" s="20">
        <v>723800</v>
      </c>
      <c r="O921" s="20">
        <f t="shared" si="44"/>
        <v>163200</v>
      </c>
      <c r="P921" t="s">
        <v>24</v>
      </c>
    </row>
    <row r="922" spans="1:16">
      <c r="A922" t="s">
        <v>1002</v>
      </c>
      <c r="B922" s="18">
        <v>46284</v>
      </c>
      <c r="C922" s="19">
        <f t="shared" si="42"/>
        <v>2026</v>
      </c>
      <c r="D922" s="19" t="str">
        <f t="shared" si="43"/>
        <v>Sep</v>
      </c>
      <c r="E922" t="s">
        <v>17</v>
      </c>
      <c r="F922" t="s">
        <v>51</v>
      </c>
      <c r="G922" t="s">
        <v>52</v>
      </c>
      <c r="H922" t="s">
        <v>53</v>
      </c>
      <c r="I922" t="s">
        <v>21</v>
      </c>
      <c r="J922" t="s">
        <v>22</v>
      </c>
      <c r="K922" t="s">
        <v>23</v>
      </c>
      <c r="L922" s="19">
        <v>1</v>
      </c>
      <c r="M922" s="20">
        <v>1800000</v>
      </c>
      <c r="N922" s="20">
        <v>1452000</v>
      </c>
      <c r="O922" s="20">
        <f t="shared" si="44"/>
        <v>348000</v>
      </c>
      <c r="P922" t="s">
        <v>31</v>
      </c>
    </row>
    <row r="923" spans="1:16">
      <c r="A923" t="s">
        <v>1003</v>
      </c>
      <c r="B923" s="18">
        <v>46285</v>
      </c>
      <c r="C923" s="19">
        <f t="shared" si="42"/>
        <v>2026</v>
      </c>
      <c r="D923" s="19" t="str">
        <f t="shared" si="43"/>
        <v>Sep</v>
      </c>
      <c r="E923" t="s">
        <v>33</v>
      </c>
      <c r="F923" t="s">
        <v>34</v>
      </c>
      <c r="G923" t="s">
        <v>34</v>
      </c>
      <c r="H923" t="s">
        <v>35</v>
      </c>
      <c r="I923" t="s">
        <v>68</v>
      </c>
      <c r="J923" t="s">
        <v>49</v>
      </c>
      <c r="K923" t="s">
        <v>58</v>
      </c>
      <c r="L923" s="19">
        <v>1</v>
      </c>
      <c r="M923" s="20">
        <v>885000</v>
      </c>
      <c r="N923" s="20">
        <v>720400</v>
      </c>
      <c r="O923" s="20">
        <f t="shared" si="44"/>
        <v>164600</v>
      </c>
      <c r="P923" t="s">
        <v>37</v>
      </c>
    </row>
    <row r="924" spans="1:16">
      <c r="A924" t="s">
        <v>1004</v>
      </c>
      <c r="B924" s="18">
        <v>46285</v>
      </c>
      <c r="C924" s="19">
        <f t="shared" si="42"/>
        <v>2026</v>
      </c>
      <c r="D924" s="19" t="str">
        <f t="shared" si="43"/>
        <v>Sep</v>
      </c>
      <c r="E924" t="s">
        <v>26</v>
      </c>
      <c r="F924" t="s">
        <v>65</v>
      </c>
      <c r="G924" t="s">
        <v>66</v>
      </c>
      <c r="H924" t="s">
        <v>67</v>
      </c>
      <c r="I924" t="s">
        <v>63</v>
      </c>
      <c r="J924" t="s">
        <v>41</v>
      </c>
      <c r="K924" t="s">
        <v>58</v>
      </c>
      <c r="L924" s="19">
        <v>1</v>
      </c>
      <c r="M924" s="20">
        <v>1388000</v>
      </c>
      <c r="N924" s="20">
        <v>1138000</v>
      </c>
      <c r="O924" s="20">
        <f t="shared" si="44"/>
        <v>250000</v>
      </c>
      <c r="P924" t="s">
        <v>24</v>
      </c>
    </row>
    <row r="925" spans="1:16">
      <c r="A925" t="s">
        <v>1005</v>
      </c>
      <c r="B925" s="18">
        <v>46285</v>
      </c>
      <c r="C925" s="19">
        <f t="shared" si="42"/>
        <v>2026</v>
      </c>
      <c r="D925" s="19" t="str">
        <f t="shared" si="43"/>
        <v>Sep</v>
      </c>
      <c r="E925" t="s">
        <v>44</v>
      </c>
      <c r="F925" t="s">
        <v>118</v>
      </c>
      <c r="G925" t="s">
        <v>119</v>
      </c>
      <c r="H925" t="s">
        <v>120</v>
      </c>
      <c r="I925" t="s">
        <v>121</v>
      </c>
      <c r="J925" t="s">
        <v>57</v>
      </c>
      <c r="K925" t="s">
        <v>42</v>
      </c>
      <c r="L925" s="19">
        <v>1</v>
      </c>
      <c r="M925" s="20">
        <v>1540000</v>
      </c>
      <c r="N925" s="20">
        <v>1301900</v>
      </c>
      <c r="O925" s="20">
        <f t="shared" si="44"/>
        <v>238100</v>
      </c>
      <c r="P925" t="s">
        <v>72</v>
      </c>
    </row>
    <row r="926" spans="1:16">
      <c r="A926" t="s">
        <v>1006</v>
      </c>
      <c r="B926" s="18">
        <v>46285</v>
      </c>
      <c r="C926" s="19">
        <f t="shared" si="42"/>
        <v>2026</v>
      </c>
      <c r="D926" s="19" t="str">
        <f t="shared" si="43"/>
        <v>Sep</v>
      </c>
      <c r="E926" t="s">
        <v>33</v>
      </c>
      <c r="F926" t="s">
        <v>92</v>
      </c>
      <c r="G926" t="s">
        <v>93</v>
      </c>
      <c r="H926" t="s">
        <v>94</v>
      </c>
      <c r="I926" t="s">
        <v>63</v>
      </c>
      <c r="J926" t="s">
        <v>41</v>
      </c>
      <c r="K926" t="s">
        <v>58</v>
      </c>
      <c r="L926" s="19">
        <v>1</v>
      </c>
      <c r="M926" s="20">
        <v>1309000</v>
      </c>
      <c r="N926" s="20">
        <v>1061300</v>
      </c>
      <c r="O926" s="20">
        <f t="shared" si="44"/>
        <v>247700</v>
      </c>
      <c r="P926" t="s">
        <v>37</v>
      </c>
    </row>
    <row r="927" spans="1:16">
      <c r="A927" t="s">
        <v>1007</v>
      </c>
      <c r="B927" s="18">
        <v>46285</v>
      </c>
      <c r="C927" s="19">
        <f t="shared" si="42"/>
        <v>2026</v>
      </c>
      <c r="D927" s="19" t="str">
        <f t="shared" si="43"/>
        <v>Sep</v>
      </c>
      <c r="E927" t="s">
        <v>26</v>
      </c>
      <c r="F927" t="s">
        <v>131</v>
      </c>
      <c r="G927" t="s">
        <v>132</v>
      </c>
      <c r="H927" t="s">
        <v>133</v>
      </c>
      <c r="I927" t="s">
        <v>121</v>
      </c>
      <c r="J927" t="s">
        <v>57</v>
      </c>
      <c r="K927" t="s">
        <v>42</v>
      </c>
      <c r="L927" s="19">
        <v>1</v>
      </c>
      <c r="M927" s="20">
        <v>1574000</v>
      </c>
      <c r="N927" s="20">
        <v>1298800</v>
      </c>
      <c r="O927" s="20">
        <f t="shared" si="44"/>
        <v>275200</v>
      </c>
      <c r="P927" t="s">
        <v>54</v>
      </c>
    </row>
    <row r="928" spans="1:16">
      <c r="A928" t="s">
        <v>1008</v>
      </c>
      <c r="B928" s="18">
        <v>46285</v>
      </c>
      <c r="C928" s="19">
        <f t="shared" si="42"/>
        <v>2026</v>
      </c>
      <c r="D928" s="19" t="str">
        <f t="shared" si="43"/>
        <v>Sep</v>
      </c>
      <c r="E928" t="s">
        <v>26</v>
      </c>
      <c r="F928" t="s">
        <v>27</v>
      </c>
      <c r="G928" t="s">
        <v>28</v>
      </c>
      <c r="H928" t="s">
        <v>39</v>
      </c>
      <c r="I928" t="s">
        <v>56</v>
      </c>
      <c r="J928" t="s">
        <v>57</v>
      </c>
      <c r="K928" t="s">
        <v>58</v>
      </c>
      <c r="L928" s="19">
        <v>1</v>
      </c>
      <c r="M928" s="20">
        <v>1223000</v>
      </c>
      <c r="N928" s="20">
        <v>1033100</v>
      </c>
      <c r="O928" s="20">
        <f t="shared" si="44"/>
        <v>189900</v>
      </c>
      <c r="P928" t="s">
        <v>37</v>
      </c>
    </row>
    <row r="929" spans="1:16">
      <c r="A929" t="s">
        <v>1009</v>
      </c>
      <c r="B929" s="18">
        <v>46286</v>
      </c>
      <c r="C929" s="19">
        <f t="shared" si="42"/>
        <v>2026</v>
      </c>
      <c r="D929" s="19" t="str">
        <f t="shared" si="43"/>
        <v>Sep</v>
      </c>
      <c r="E929" t="s">
        <v>33</v>
      </c>
      <c r="F929" t="s">
        <v>34</v>
      </c>
      <c r="G929" t="s">
        <v>34</v>
      </c>
      <c r="H929" t="s">
        <v>102</v>
      </c>
      <c r="I929" t="s">
        <v>63</v>
      </c>
      <c r="J929" t="s">
        <v>41</v>
      </c>
      <c r="K929" t="s">
        <v>58</v>
      </c>
      <c r="L929" s="19">
        <v>2</v>
      </c>
      <c r="M929" s="20">
        <v>2769000</v>
      </c>
      <c r="N929" s="20">
        <v>2309300</v>
      </c>
      <c r="O929" s="20">
        <f t="shared" si="44"/>
        <v>459700</v>
      </c>
      <c r="P929" t="s">
        <v>31</v>
      </c>
    </row>
    <row r="930" spans="1:16">
      <c r="A930" t="s">
        <v>1010</v>
      </c>
      <c r="B930" s="18">
        <v>46287</v>
      </c>
      <c r="C930" s="19">
        <f t="shared" si="42"/>
        <v>2026</v>
      </c>
      <c r="D930" s="19" t="str">
        <f t="shared" si="43"/>
        <v>Sep</v>
      </c>
      <c r="E930" t="s">
        <v>17</v>
      </c>
      <c r="F930" t="s">
        <v>18</v>
      </c>
      <c r="G930" t="s">
        <v>60</v>
      </c>
      <c r="H930" t="s">
        <v>61</v>
      </c>
      <c r="I930" t="s">
        <v>68</v>
      </c>
      <c r="J930" t="s">
        <v>49</v>
      </c>
      <c r="K930" t="s">
        <v>58</v>
      </c>
      <c r="L930" s="19">
        <v>1</v>
      </c>
      <c r="M930" s="20">
        <v>955000</v>
      </c>
      <c r="N930" s="20">
        <v>813600</v>
      </c>
      <c r="O930" s="20">
        <f t="shared" si="44"/>
        <v>141400</v>
      </c>
      <c r="P930" t="s">
        <v>24</v>
      </c>
    </row>
    <row r="931" spans="1:16">
      <c r="A931" t="s">
        <v>1011</v>
      </c>
      <c r="B931" s="18">
        <v>46287</v>
      </c>
      <c r="C931" s="19">
        <f t="shared" si="42"/>
        <v>2026</v>
      </c>
      <c r="D931" s="19" t="str">
        <f t="shared" si="43"/>
        <v>Sep</v>
      </c>
      <c r="E931" t="s">
        <v>33</v>
      </c>
      <c r="F931" t="s">
        <v>92</v>
      </c>
      <c r="G931" t="s">
        <v>93</v>
      </c>
      <c r="H931" t="s">
        <v>94</v>
      </c>
      <c r="I931" t="s">
        <v>121</v>
      </c>
      <c r="J931" t="s">
        <v>57</v>
      </c>
      <c r="K931" t="s">
        <v>42</v>
      </c>
      <c r="L931" s="19">
        <v>1</v>
      </c>
      <c r="M931" s="20">
        <v>1528000</v>
      </c>
      <c r="N931" s="20">
        <v>1273300</v>
      </c>
      <c r="O931" s="20">
        <f t="shared" si="44"/>
        <v>254700</v>
      </c>
      <c r="P931" t="s">
        <v>24</v>
      </c>
    </row>
    <row r="932" spans="1:16">
      <c r="A932" t="s">
        <v>1012</v>
      </c>
      <c r="B932" s="18">
        <v>46288</v>
      </c>
      <c r="C932" s="19">
        <f t="shared" si="42"/>
        <v>2026</v>
      </c>
      <c r="D932" s="19" t="str">
        <f t="shared" si="43"/>
        <v>Sep</v>
      </c>
      <c r="E932" t="s">
        <v>17</v>
      </c>
      <c r="F932" t="s">
        <v>51</v>
      </c>
      <c r="G932" t="s">
        <v>52</v>
      </c>
      <c r="H932" t="s">
        <v>70</v>
      </c>
      <c r="I932" t="s">
        <v>48</v>
      </c>
      <c r="J932" t="s">
        <v>49</v>
      </c>
      <c r="K932" t="s">
        <v>42</v>
      </c>
      <c r="L932" s="19">
        <v>1</v>
      </c>
      <c r="M932" s="20">
        <v>1212000</v>
      </c>
      <c r="N932" s="20">
        <v>1003600</v>
      </c>
      <c r="O932" s="20">
        <f t="shared" si="44"/>
        <v>208400</v>
      </c>
      <c r="P932" t="s">
        <v>24</v>
      </c>
    </row>
    <row r="933" spans="1:16">
      <c r="A933" t="s">
        <v>1013</v>
      </c>
      <c r="B933" s="18">
        <v>46288</v>
      </c>
      <c r="C933" s="19">
        <f t="shared" si="42"/>
        <v>2026</v>
      </c>
      <c r="D933" s="19" t="str">
        <f t="shared" si="43"/>
        <v>Sep</v>
      </c>
      <c r="E933" t="s">
        <v>33</v>
      </c>
      <c r="F933" t="s">
        <v>34</v>
      </c>
      <c r="G933" t="s">
        <v>34</v>
      </c>
      <c r="H933" t="s">
        <v>35</v>
      </c>
      <c r="I933" t="s">
        <v>68</v>
      </c>
      <c r="J933" t="s">
        <v>49</v>
      </c>
      <c r="K933" t="s">
        <v>58</v>
      </c>
      <c r="L933" s="19">
        <v>1</v>
      </c>
      <c r="M933" s="20">
        <v>920000</v>
      </c>
      <c r="N933" s="20">
        <v>739600</v>
      </c>
      <c r="O933" s="20">
        <f t="shared" si="44"/>
        <v>180400</v>
      </c>
      <c r="P933" t="s">
        <v>72</v>
      </c>
    </row>
    <row r="934" spans="1:16">
      <c r="A934" t="s">
        <v>1014</v>
      </c>
      <c r="B934" s="18">
        <v>46289</v>
      </c>
      <c r="C934" s="19">
        <f t="shared" si="42"/>
        <v>2026</v>
      </c>
      <c r="D934" s="19" t="str">
        <f t="shared" si="43"/>
        <v>Sep</v>
      </c>
      <c r="E934" t="s">
        <v>26</v>
      </c>
      <c r="F934" t="s">
        <v>27</v>
      </c>
      <c r="G934" t="s">
        <v>28</v>
      </c>
      <c r="H934" t="s">
        <v>29</v>
      </c>
      <c r="I934" t="s">
        <v>71</v>
      </c>
      <c r="J934" t="s">
        <v>49</v>
      </c>
      <c r="K934" t="s">
        <v>58</v>
      </c>
      <c r="L934" s="19">
        <v>1</v>
      </c>
      <c r="M934" s="20">
        <v>1001000</v>
      </c>
      <c r="N934" s="20">
        <v>819000</v>
      </c>
      <c r="O934" s="20">
        <f t="shared" si="44"/>
        <v>182000</v>
      </c>
      <c r="P934" t="s">
        <v>31</v>
      </c>
    </row>
    <row r="935" spans="1:16">
      <c r="A935" t="s">
        <v>1015</v>
      </c>
      <c r="B935" s="18">
        <v>46290</v>
      </c>
      <c r="C935" s="19">
        <f t="shared" si="42"/>
        <v>2026</v>
      </c>
      <c r="D935" s="19" t="str">
        <f t="shared" si="43"/>
        <v>Sep</v>
      </c>
      <c r="E935" t="s">
        <v>17</v>
      </c>
      <c r="F935" t="s">
        <v>51</v>
      </c>
      <c r="G935" t="s">
        <v>52</v>
      </c>
      <c r="H935" t="s">
        <v>53</v>
      </c>
      <c r="I935" t="s">
        <v>56</v>
      </c>
      <c r="J935" t="s">
        <v>57</v>
      </c>
      <c r="K935" t="s">
        <v>58</v>
      </c>
      <c r="L935" s="19">
        <v>1</v>
      </c>
      <c r="M935" s="20">
        <v>1217000</v>
      </c>
      <c r="N935" s="20">
        <v>984300</v>
      </c>
      <c r="O935" s="20">
        <f t="shared" si="44"/>
        <v>232700</v>
      </c>
      <c r="P935" t="s">
        <v>24</v>
      </c>
    </row>
    <row r="936" spans="1:16">
      <c r="A936" t="s">
        <v>1016</v>
      </c>
      <c r="B936" s="18">
        <v>46291</v>
      </c>
      <c r="C936" s="19">
        <f t="shared" si="42"/>
        <v>2026</v>
      </c>
      <c r="D936" s="19" t="str">
        <f t="shared" si="43"/>
        <v>Sep</v>
      </c>
      <c r="E936" t="s">
        <v>33</v>
      </c>
      <c r="F936" t="s">
        <v>34</v>
      </c>
      <c r="G936" t="s">
        <v>34</v>
      </c>
      <c r="H936" t="s">
        <v>35</v>
      </c>
      <c r="I936" t="s">
        <v>48</v>
      </c>
      <c r="J936" t="s">
        <v>49</v>
      </c>
      <c r="K936" t="s">
        <v>42</v>
      </c>
      <c r="L936" s="19">
        <v>1</v>
      </c>
      <c r="M936" s="20">
        <v>1207000</v>
      </c>
      <c r="N936" s="20">
        <v>1009800</v>
      </c>
      <c r="O936" s="20">
        <f t="shared" si="44"/>
        <v>197200</v>
      </c>
      <c r="P936" t="s">
        <v>24</v>
      </c>
    </row>
    <row r="937" spans="1:16">
      <c r="A937" t="s">
        <v>1017</v>
      </c>
      <c r="B937" s="18">
        <v>46291</v>
      </c>
      <c r="C937" s="19">
        <f t="shared" si="42"/>
        <v>2026</v>
      </c>
      <c r="D937" s="19" t="str">
        <f t="shared" si="43"/>
        <v>Sep</v>
      </c>
      <c r="E937" t="s">
        <v>17</v>
      </c>
      <c r="F937" t="s">
        <v>51</v>
      </c>
      <c r="G937" t="s">
        <v>52</v>
      </c>
      <c r="H937" t="s">
        <v>70</v>
      </c>
      <c r="I937" t="s">
        <v>71</v>
      </c>
      <c r="J937" t="s">
        <v>49</v>
      </c>
      <c r="K937" t="s">
        <v>58</v>
      </c>
      <c r="L937" s="19">
        <v>1</v>
      </c>
      <c r="M937" s="20">
        <v>1014000</v>
      </c>
      <c r="N937" s="20">
        <v>815200</v>
      </c>
      <c r="O937" s="20">
        <f t="shared" si="44"/>
        <v>198800</v>
      </c>
      <c r="P937" t="s">
        <v>31</v>
      </c>
    </row>
    <row r="938" spans="1:16">
      <c r="A938" t="s">
        <v>1018</v>
      </c>
      <c r="B938" s="18">
        <v>46291</v>
      </c>
      <c r="C938" s="19">
        <f t="shared" si="42"/>
        <v>2026</v>
      </c>
      <c r="D938" s="19" t="str">
        <f t="shared" si="43"/>
        <v>Sep</v>
      </c>
      <c r="E938" t="s">
        <v>17</v>
      </c>
      <c r="F938" t="s">
        <v>18</v>
      </c>
      <c r="G938" t="s">
        <v>60</v>
      </c>
      <c r="H938" t="s">
        <v>61</v>
      </c>
      <c r="I938" t="s">
        <v>121</v>
      </c>
      <c r="J938" t="s">
        <v>57</v>
      </c>
      <c r="K938" t="s">
        <v>42</v>
      </c>
      <c r="L938" s="19">
        <v>1</v>
      </c>
      <c r="M938" s="20">
        <v>1607000</v>
      </c>
      <c r="N938" s="20">
        <v>1307700</v>
      </c>
      <c r="O938" s="20">
        <f t="shared" si="44"/>
        <v>299300</v>
      </c>
      <c r="P938" t="s">
        <v>31</v>
      </c>
    </row>
    <row r="939" spans="1:16">
      <c r="A939" t="s">
        <v>1019</v>
      </c>
      <c r="B939" s="18">
        <v>46291</v>
      </c>
      <c r="C939" s="19">
        <f t="shared" si="42"/>
        <v>2026</v>
      </c>
      <c r="D939" s="19" t="str">
        <f t="shared" si="43"/>
        <v>Sep</v>
      </c>
      <c r="E939" t="s">
        <v>44</v>
      </c>
      <c r="F939" t="s">
        <v>45</v>
      </c>
      <c r="G939" t="s">
        <v>46</v>
      </c>
      <c r="H939" t="s">
        <v>47</v>
      </c>
      <c r="I939" t="s">
        <v>48</v>
      </c>
      <c r="J939" t="s">
        <v>49</v>
      </c>
      <c r="K939" t="s">
        <v>42</v>
      </c>
      <c r="L939" s="19">
        <v>1</v>
      </c>
      <c r="M939" s="20">
        <v>1230000</v>
      </c>
      <c r="N939" s="20">
        <v>1062000</v>
      </c>
      <c r="O939" s="20">
        <f t="shared" si="44"/>
        <v>168000</v>
      </c>
      <c r="P939" t="s">
        <v>24</v>
      </c>
    </row>
    <row r="940" spans="1:16">
      <c r="A940" t="s">
        <v>1020</v>
      </c>
      <c r="B940" s="18">
        <v>46292</v>
      </c>
      <c r="C940" s="19">
        <f t="shared" si="42"/>
        <v>2026</v>
      </c>
      <c r="D940" s="19" t="str">
        <f t="shared" si="43"/>
        <v>Sep</v>
      </c>
      <c r="E940" t="s">
        <v>17</v>
      </c>
      <c r="F940" t="s">
        <v>51</v>
      </c>
      <c r="G940" t="s">
        <v>98</v>
      </c>
      <c r="H940" t="s">
        <v>99</v>
      </c>
      <c r="I940" t="s">
        <v>40</v>
      </c>
      <c r="J940" t="s">
        <v>41</v>
      </c>
      <c r="K940" t="s">
        <v>42</v>
      </c>
      <c r="L940" s="19">
        <v>1</v>
      </c>
      <c r="M940" s="20">
        <v>1748000</v>
      </c>
      <c r="N940" s="20">
        <v>1459100</v>
      </c>
      <c r="O940" s="20">
        <f t="shared" si="44"/>
        <v>288900</v>
      </c>
      <c r="P940" t="s">
        <v>37</v>
      </c>
    </row>
    <row r="941" spans="1:16">
      <c r="A941" t="s">
        <v>1021</v>
      </c>
      <c r="B941" s="18">
        <v>46292</v>
      </c>
      <c r="C941" s="19">
        <f t="shared" si="42"/>
        <v>2026</v>
      </c>
      <c r="D941" s="19" t="str">
        <f t="shared" si="43"/>
        <v>Sep</v>
      </c>
      <c r="E941" t="s">
        <v>26</v>
      </c>
      <c r="F941" t="s">
        <v>65</v>
      </c>
      <c r="G941" t="s">
        <v>66</v>
      </c>
      <c r="H941" t="s">
        <v>67</v>
      </c>
      <c r="I941" t="s">
        <v>121</v>
      </c>
      <c r="J941" t="s">
        <v>57</v>
      </c>
      <c r="K941" t="s">
        <v>42</v>
      </c>
      <c r="L941" s="19">
        <v>2</v>
      </c>
      <c r="M941" s="20">
        <v>3076000</v>
      </c>
      <c r="N941" s="20">
        <v>2489500</v>
      </c>
      <c r="O941" s="20">
        <f t="shared" si="44"/>
        <v>586500</v>
      </c>
      <c r="P941" t="s">
        <v>31</v>
      </c>
    </row>
    <row r="942" spans="1:16">
      <c r="A942" t="s">
        <v>1022</v>
      </c>
      <c r="B942" s="18">
        <v>46292</v>
      </c>
      <c r="C942" s="19">
        <f t="shared" si="42"/>
        <v>2026</v>
      </c>
      <c r="D942" s="19" t="str">
        <f t="shared" si="43"/>
        <v>Sep</v>
      </c>
      <c r="E942" t="s">
        <v>44</v>
      </c>
      <c r="F942" t="s">
        <v>45</v>
      </c>
      <c r="G942" t="s">
        <v>46</v>
      </c>
      <c r="H942" t="s">
        <v>47</v>
      </c>
      <c r="I942" t="s">
        <v>68</v>
      </c>
      <c r="J942" t="s">
        <v>49</v>
      </c>
      <c r="K942" t="s">
        <v>58</v>
      </c>
      <c r="L942" s="19">
        <v>1</v>
      </c>
      <c r="M942" s="20">
        <v>905000</v>
      </c>
      <c r="N942" s="20">
        <v>749800</v>
      </c>
      <c r="O942" s="20">
        <f t="shared" si="44"/>
        <v>155200</v>
      </c>
      <c r="P942" t="s">
        <v>31</v>
      </c>
    </row>
    <row r="943" spans="1:16">
      <c r="A943" t="s">
        <v>1023</v>
      </c>
      <c r="B943" s="18">
        <v>46292</v>
      </c>
      <c r="C943" s="19">
        <f t="shared" si="42"/>
        <v>2026</v>
      </c>
      <c r="D943" s="19" t="str">
        <f t="shared" si="43"/>
        <v>Sep</v>
      </c>
      <c r="E943" t="s">
        <v>26</v>
      </c>
      <c r="F943" t="s">
        <v>27</v>
      </c>
      <c r="G943" t="s">
        <v>28</v>
      </c>
      <c r="H943" t="s">
        <v>29</v>
      </c>
      <c r="I943" t="s">
        <v>171</v>
      </c>
      <c r="J943" t="s">
        <v>22</v>
      </c>
      <c r="K943" t="s">
        <v>42</v>
      </c>
      <c r="L943" s="19">
        <v>1</v>
      </c>
      <c r="M943" s="20">
        <v>6484000</v>
      </c>
      <c r="N943" s="20">
        <v>5361900</v>
      </c>
      <c r="O943" s="20">
        <f t="shared" si="44"/>
        <v>1122100</v>
      </c>
      <c r="P943" t="s">
        <v>78</v>
      </c>
    </row>
    <row r="944" spans="1:16">
      <c r="A944" t="s">
        <v>1024</v>
      </c>
      <c r="B944" s="18">
        <v>46292</v>
      </c>
      <c r="C944" s="19">
        <f t="shared" si="42"/>
        <v>2026</v>
      </c>
      <c r="D944" s="19" t="str">
        <f t="shared" si="43"/>
        <v>Sep</v>
      </c>
      <c r="E944" t="s">
        <v>17</v>
      </c>
      <c r="F944" t="s">
        <v>51</v>
      </c>
      <c r="G944" t="s">
        <v>52</v>
      </c>
      <c r="H944" t="s">
        <v>70</v>
      </c>
      <c r="I944" t="s">
        <v>21</v>
      </c>
      <c r="J944" t="s">
        <v>22</v>
      </c>
      <c r="K944" t="s">
        <v>23</v>
      </c>
      <c r="L944" s="19">
        <v>1</v>
      </c>
      <c r="M944" s="20">
        <v>1909000</v>
      </c>
      <c r="N944" s="20">
        <v>1679400</v>
      </c>
      <c r="O944" s="20">
        <f t="shared" si="44"/>
        <v>229600</v>
      </c>
      <c r="P944" t="s">
        <v>24</v>
      </c>
    </row>
    <row r="945" spans="1:16">
      <c r="A945" t="s">
        <v>1025</v>
      </c>
      <c r="B945" s="18">
        <v>46293</v>
      </c>
      <c r="C945" s="19">
        <f t="shared" si="42"/>
        <v>2026</v>
      </c>
      <c r="D945" s="19" t="str">
        <f t="shared" si="43"/>
        <v>Sep</v>
      </c>
      <c r="E945" t="s">
        <v>26</v>
      </c>
      <c r="F945" t="s">
        <v>65</v>
      </c>
      <c r="G945" t="s">
        <v>66</v>
      </c>
      <c r="H945" t="s">
        <v>67</v>
      </c>
      <c r="I945" t="s">
        <v>68</v>
      </c>
      <c r="J945" t="s">
        <v>49</v>
      </c>
      <c r="K945" t="s">
        <v>58</v>
      </c>
      <c r="L945" s="19">
        <v>1</v>
      </c>
      <c r="M945" s="20">
        <v>908000</v>
      </c>
      <c r="N945" s="20">
        <v>780500</v>
      </c>
      <c r="O945" s="20">
        <f t="shared" si="44"/>
        <v>127500</v>
      </c>
      <c r="P945" t="s">
        <v>31</v>
      </c>
    </row>
    <row r="946" spans="1:16">
      <c r="A946" t="s">
        <v>1026</v>
      </c>
      <c r="B946" s="18">
        <v>46294</v>
      </c>
      <c r="C946" s="19">
        <f t="shared" si="42"/>
        <v>2026</v>
      </c>
      <c r="D946" s="19" t="str">
        <f t="shared" si="43"/>
        <v>Sep</v>
      </c>
      <c r="E946" t="s">
        <v>17</v>
      </c>
      <c r="F946" t="s">
        <v>18</v>
      </c>
      <c r="G946" t="s">
        <v>19</v>
      </c>
      <c r="H946" t="s">
        <v>20</v>
      </c>
      <c r="I946" t="s">
        <v>56</v>
      </c>
      <c r="J946" t="s">
        <v>57</v>
      </c>
      <c r="K946" t="s">
        <v>58</v>
      </c>
      <c r="L946" s="19">
        <v>1</v>
      </c>
      <c r="M946" s="20">
        <v>1216000</v>
      </c>
      <c r="N946" s="20">
        <v>1020900</v>
      </c>
      <c r="O946" s="20">
        <f t="shared" si="44"/>
        <v>195100</v>
      </c>
      <c r="P946" t="s">
        <v>31</v>
      </c>
    </row>
    <row r="947" spans="1:16">
      <c r="A947" t="s">
        <v>1027</v>
      </c>
      <c r="B947" s="18">
        <v>46294</v>
      </c>
      <c r="C947" s="19">
        <f t="shared" si="42"/>
        <v>2026</v>
      </c>
      <c r="D947" s="19" t="str">
        <f t="shared" si="43"/>
        <v>Sep</v>
      </c>
      <c r="E947" t="s">
        <v>26</v>
      </c>
      <c r="F947" t="s">
        <v>27</v>
      </c>
      <c r="G947" t="s">
        <v>28</v>
      </c>
      <c r="H947" t="s">
        <v>29</v>
      </c>
      <c r="I947" t="s">
        <v>121</v>
      </c>
      <c r="J947" t="s">
        <v>57</v>
      </c>
      <c r="K947" t="s">
        <v>42</v>
      </c>
      <c r="L947" s="19">
        <v>1</v>
      </c>
      <c r="M947" s="20">
        <v>1530000</v>
      </c>
      <c r="N947" s="20">
        <v>1265600</v>
      </c>
      <c r="O947" s="20">
        <f t="shared" si="44"/>
        <v>264400</v>
      </c>
      <c r="P947" t="s">
        <v>24</v>
      </c>
    </row>
    <row r="948" spans="1:16">
      <c r="A948" t="s">
        <v>1028</v>
      </c>
      <c r="B948" s="18">
        <v>46295</v>
      </c>
      <c r="C948" s="19">
        <f t="shared" si="42"/>
        <v>2026</v>
      </c>
      <c r="D948" s="19" t="str">
        <f t="shared" si="43"/>
        <v>Sep</v>
      </c>
      <c r="E948" t="s">
        <v>26</v>
      </c>
      <c r="F948" t="s">
        <v>27</v>
      </c>
      <c r="G948" t="s">
        <v>28</v>
      </c>
      <c r="H948" t="s">
        <v>39</v>
      </c>
      <c r="I948" t="s">
        <v>56</v>
      </c>
      <c r="J948" t="s">
        <v>57</v>
      </c>
      <c r="K948" t="s">
        <v>58</v>
      </c>
      <c r="L948" s="19">
        <v>1</v>
      </c>
      <c r="M948" s="20">
        <v>1232000</v>
      </c>
      <c r="N948" s="20">
        <v>1030800</v>
      </c>
      <c r="O948" s="20">
        <f t="shared" si="44"/>
        <v>201200</v>
      </c>
      <c r="P948" t="s">
        <v>24</v>
      </c>
    </row>
    <row r="949" spans="1:16">
      <c r="A949" t="s">
        <v>1029</v>
      </c>
      <c r="B949" s="18">
        <v>46295</v>
      </c>
      <c r="C949" s="19">
        <f t="shared" si="42"/>
        <v>2026</v>
      </c>
      <c r="D949" s="19" t="str">
        <f t="shared" si="43"/>
        <v>Sep</v>
      </c>
      <c r="E949" t="s">
        <v>44</v>
      </c>
      <c r="F949" t="s">
        <v>45</v>
      </c>
      <c r="G949" t="s">
        <v>46</v>
      </c>
      <c r="H949" t="s">
        <v>47</v>
      </c>
      <c r="I949" t="s">
        <v>56</v>
      </c>
      <c r="J949" t="s">
        <v>57</v>
      </c>
      <c r="K949" t="s">
        <v>58</v>
      </c>
      <c r="L949" s="19">
        <v>1</v>
      </c>
      <c r="M949" s="20">
        <v>1237000</v>
      </c>
      <c r="N949" s="20">
        <v>1002700</v>
      </c>
      <c r="O949" s="20">
        <f t="shared" si="44"/>
        <v>234300</v>
      </c>
      <c r="P949" t="s">
        <v>37</v>
      </c>
    </row>
    <row r="950" spans="1:16">
      <c r="A950" t="s">
        <v>1030</v>
      </c>
      <c r="B950" s="18">
        <v>46295</v>
      </c>
      <c r="C950" s="19">
        <f t="shared" si="42"/>
        <v>2026</v>
      </c>
      <c r="D950" s="19" t="str">
        <f t="shared" si="43"/>
        <v>Sep</v>
      </c>
      <c r="E950" t="s">
        <v>17</v>
      </c>
      <c r="F950" t="s">
        <v>51</v>
      </c>
      <c r="G950" t="s">
        <v>98</v>
      </c>
      <c r="H950" t="s">
        <v>99</v>
      </c>
      <c r="I950" t="s">
        <v>68</v>
      </c>
      <c r="J950" t="s">
        <v>49</v>
      </c>
      <c r="K950" t="s">
        <v>58</v>
      </c>
      <c r="L950" s="19">
        <v>1</v>
      </c>
      <c r="M950" s="20">
        <v>938000</v>
      </c>
      <c r="N950" s="20">
        <v>756800</v>
      </c>
      <c r="O950" s="20">
        <f t="shared" si="44"/>
        <v>181200</v>
      </c>
      <c r="P950" t="s">
        <v>78</v>
      </c>
    </row>
    <row r="951" spans="1:16">
      <c r="A951" t="s">
        <v>1031</v>
      </c>
      <c r="B951" s="18">
        <v>46295</v>
      </c>
      <c r="C951" s="19">
        <f t="shared" si="42"/>
        <v>2026</v>
      </c>
      <c r="D951" s="19" t="str">
        <f t="shared" si="43"/>
        <v>Sep</v>
      </c>
      <c r="E951" t="s">
        <v>26</v>
      </c>
      <c r="F951" t="s">
        <v>27</v>
      </c>
      <c r="G951" t="s">
        <v>28</v>
      </c>
      <c r="H951" t="s">
        <v>39</v>
      </c>
      <c r="I951" t="s">
        <v>40</v>
      </c>
      <c r="J951" t="s">
        <v>41</v>
      </c>
      <c r="K951" t="s">
        <v>42</v>
      </c>
      <c r="L951" s="19">
        <v>1</v>
      </c>
      <c r="M951" s="20">
        <v>1778000</v>
      </c>
      <c r="N951" s="20">
        <v>1440100</v>
      </c>
      <c r="O951" s="20">
        <f t="shared" si="44"/>
        <v>337900</v>
      </c>
      <c r="P951" t="s">
        <v>31</v>
      </c>
    </row>
    <row r="952" spans="1:16">
      <c r="A952" t="s">
        <v>1032</v>
      </c>
      <c r="B952" s="18">
        <v>46296</v>
      </c>
      <c r="C952" s="19">
        <f t="shared" si="42"/>
        <v>2026</v>
      </c>
      <c r="D952" s="19" t="str">
        <f t="shared" si="43"/>
        <v>Oct</v>
      </c>
      <c r="E952" t="s">
        <v>33</v>
      </c>
      <c r="F952" t="s">
        <v>34</v>
      </c>
      <c r="G952" t="s">
        <v>34</v>
      </c>
      <c r="H952" t="s">
        <v>102</v>
      </c>
      <c r="I952" t="s">
        <v>30</v>
      </c>
      <c r="J952" t="s">
        <v>22</v>
      </c>
      <c r="K952" t="s">
        <v>23</v>
      </c>
      <c r="L952" s="19">
        <v>1</v>
      </c>
      <c r="M952" s="20">
        <v>1778000</v>
      </c>
      <c r="N952" s="20">
        <v>1553700</v>
      </c>
      <c r="O952" s="20">
        <f t="shared" si="44"/>
        <v>224300</v>
      </c>
      <c r="P952" t="s">
        <v>37</v>
      </c>
    </row>
    <row r="953" spans="1:16">
      <c r="A953" t="s">
        <v>1033</v>
      </c>
      <c r="B953" s="18">
        <v>46296</v>
      </c>
      <c r="C953" s="19">
        <f t="shared" si="42"/>
        <v>2026</v>
      </c>
      <c r="D953" s="19" t="str">
        <f t="shared" si="43"/>
        <v>Oct</v>
      </c>
      <c r="E953" t="s">
        <v>26</v>
      </c>
      <c r="F953" t="s">
        <v>27</v>
      </c>
      <c r="G953" t="s">
        <v>28</v>
      </c>
      <c r="H953" t="s">
        <v>29</v>
      </c>
      <c r="I953" t="s">
        <v>68</v>
      </c>
      <c r="J953" t="s">
        <v>49</v>
      </c>
      <c r="K953" t="s">
        <v>58</v>
      </c>
      <c r="L953" s="19">
        <v>1</v>
      </c>
      <c r="M953" s="20">
        <v>905000</v>
      </c>
      <c r="N953" s="20">
        <v>776200</v>
      </c>
      <c r="O953" s="20">
        <f t="shared" si="44"/>
        <v>128800</v>
      </c>
      <c r="P953" t="s">
        <v>24</v>
      </c>
    </row>
    <row r="954" spans="1:16">
      <c r="A954" t="s">
        <v>1034</v>
      </c>
      <c r="B954" s="18">
        <v>46296</v>
      </c>
      <c r="C954" s="19">
        <f t="shared" si="42"/>
        <v>2026</v>
      </c>
      <c r="D954" s="19" t="str">
        <f t="shared" si="43"/>
        <v>Oct</v>
      </c>
      <c r="E954" t="s">
        <v>26</v>
      </c>
      <c r="F954" t="s">
        <v>131</v>
      </c>
      <c r="G954" t="s">
        <v>132</v>
      </c>
      <c r="H954" t="s">
        <v>133</v>
      </c>
      <c r="I954" t="s">
        <v>71</v>
      </c>
      <c r="J954" t="s">
        <v>49</v>
      </c>
      <c r="K954" t="s">
        <v>58</v>
      </c>
      <c r="L954" s="19">
        <v>1</v>
      </c>
      <c r="M954" s="20">
        <v>1043000</v>
      </c>
      <c r="N954" s="20">
        <v>885700</v>
      </c>
      <c r="O954" s="20">
        <f t="shared" si="44"/>
        <v>157300</v>
      </c>
      <c r="P954" t="s">
        <v>31</v>
      </c>
    </row>
    <row r="955" spans="1:16">
      <c r="A955" t="s">
        <v>1035</v>
      </c>
      <c r="B955" s="18">
        <v>46297</v>
      </c>
      <c r="C955" s="19">
        <f t="shared" si="42"/>
        <v>2026</v>
      </c>
      <c r="D955" s="19" t="str">
        <f t="shared" si="43"/>
        <v>Oct</v>
      </c>
      <c r="E955" t="s">
        <v>26</v>
      </c>
      <c r="F955" t="s">
        <v>27</v>
      </c>
      <c r="G955" t="s">
        <v>28</v>
      </c>
      <c r="H955" t="s">
        <v>39</v>
      </c>
      <c r="I955" t="s">
        <v>68</v>
      </c>
      <c r="J955" t="s">
        <v>49</v>
      </c>
      <c r="K955" t="s">
        <v>58</v>
      </c>
      <c r="L955" s="19">
        <v>1</v>
      </c>
      <c r="M955" s="20">
        <v>887000</v>
      </c>
      <c r="N955" s="20">
        <v>766100</v>
      </c>
      <c r="O955" s="20">
        <f t="shared" si="44"/>
        <v>120900</v>
      </c>
      <c r="P955" t="s">
        <v>24</v>
      </c>
    </row>
    <row r="956" spans="1:16">
      <c r="A956" t="s">
        <v>1036</v>
      </c>
      <c r="B956" s="18">
        <v>46297</v>
      </c>
      <c r="C956" s="19">
        <f t="shared" si="42"/>
        <v>2026</v>
      </c>
      <c r="D956" s="19" t="str">
        <f t="shared" si="43"/>
        <v>Oct</v>
      </c>
      <c r="E956" t="s">
        <v>33</v>
      </c>
      <c r="F956" t="s">
        <v>34</v>
      </c>
      <c r="G956" t="s">
        <v>34</v>
      </c>
      <c r="H956" t="s">
        <v>35</v>
      </c>
      <c r="I956" t="s">
        <v>121</v>
      </c>
      <c r="J956" t="s">
        <v>57</v>
      </c>
      <c r="K956" t="s">
        <v>42</v>
      </c>
      <c r="L956" s="19">
        <v>1</v>
      </c>
      <c r="M956" s="20">
        <v>1643000</v>
      </c>
      <c r="N956" s="20">
        <v>1415400</v>
      </c>
      <c r="O956" s="20">
        <f t="shared" si="44"/>
        <v>227600</v>
      </c>
      <c r="P956" t="s">
        <v>31</v>
      </c>
    </row>
    <row r="957" spans="1:16">
      <c r="A957" t="s">
        <v>1037</v>
      </c>
      <c r="B957" s="18">
        <v>46297</v>
      </c>
      <c r="C957" s="19">
        <f t="shared" si="42"/>
        <v>2026</v>
      </c>
      <c r="D957" s="19" t="str">
        <f t="shared" si="43"/>
        <v>Oct</v>
      </c>
      <c r="E957" t="s">
        <v>17</v>
      </c>
      <c r="F957" t="s">
        <v>51</v>
      </c>
      <c r="G957" t="s">
        <v>98</v>
      </c>
      <c r="H957" t="s">
        <v>99</v>
      </c>
      <c r="I957" t="s">
        <v>40</v>
      </c>
      <c r="J957" t="s">
        <v>41</v>
      </c>
      <c r="K957" t="s">
        <v>42</v>
      </c>
      <c r="L957" s="19">
        <v>1</v>
      </c>
      <c r="M957" s="20">
        <v>1744000</v>
      </c>
      <c r="N957" s="20">
        <v>1422700</v>
      </c>
      <c r="O957" s="20">
        <f t="shared" si="44"/>
        <v>321300</v>
      </c>
      <c r="P957" t="s">
        <v>31</v>
      </c>
    </row>
    <row r="958" spans="1:16">
      <c r="A958" t="s">
        <v>1038</v>
      </c>
      <c r="B958" s="18">
        <v>46297</v>
      </c>
      <c r="C958" s="19">
        <f t="shared" si="42"/>
        <v>2026</v>
      </c>
      <c r="D958" s="19" t="str">
        <f t="shared" si="43"/>
        <v>Oct</v>
      </c>
      <c r="E958" t="s">
        <v>17</v>
      </c>
      <c r="F958" t="s">
        <v>18</v>
      </c>
      <c r="G958" t="s">
        <v>19</v>
      </c>
      <c r="H958" t="s">
        <v>74</v>
      </c>
      <c r="I958" t="s">
        <v>68</v>
      </c>
      <c r="J958" t="s">
        <v>49</v>
      </c>
      <c r="K958" t="s">
        <v>58</v>
      </c>
      <c r="L958" s="19">
        <v>1</v>
      </c>
      <c r="M958" s="20">
        <v>885000</v>
      </c>
      <c r="N958" s="20">
        <v>770000</v>
      </c>
      <c r="O958" s="20">
        <f t="shared" si="44"/>
        <v>115000</v>
      </c>
      <c r="P958" t="s">
        <v>31</v>
      </c>
    </row>
    <row r="959" spans="1:16">
      <c r="A959" t="s">
        <v>1039</v>
      </c>
      <c r="B959" s="18">
        <v>46298</v>
      </c>
      <c r="C959" s="19">
        <f t="shared" si="42"/>
        <v>2026</v>
      </c>
      <c r="D959" s="19" t="str">
        <f t="shared" si="43"/>
        <v>Oct</v>
      </c>
      <c r="E959" t="s">
        <v>17</v>
      </c>
      <c r="F959" t="s">
        <v>18</v>
      </c>
      <c r="G959" t="s">
        <v>19</v>
      </c>
      <c r="H959" t="s">
        <v>20</v>
      </c>
      <c r="I959" t="s">
        <v>63</v>
      </c>
      <c r="J959" t="s">
        <v>41</v>
      </c>
      <c r="K959" t="s">
        <v>58</v>
      </c>
      <c r="L959" s="19">
        <v>1</v>
      </c>
      <c r="M959" s="20">
        <v>1351000</v>
      </c>
      <c r="N959" s="20">
        <v>1139700</v>
      </c>
      <c r="O959" s="20">
        <f t="shared" si="44"/>
        <v>211300</v>
      </c>
      <c r="P959" t="s">
        <v>31</v>
      </c>
    </row>
    <row r="960" spans="1:16">
      <c r="A960" t="s">
        <v>1040</v>
      </c>
      <c r="B960" s="18">
        <v>46298</v>
      </c>
      <c r="C960" s="19">
        <f t="shared" si="42"/>
        <v>2026</v>
      </c>
      <c r="D960" s="19" t="str">
        <f t="shared" si="43"/>
        <v>Oct</v>
      </c>
      <c r="E960" t="s">
        <v>33</v>
      </c>
      <c r="F960" t="s">
        <v>34</v>
      </c>
      <c r="G960" t="s">
        <v>34</v>
      </c>
      <c r="H960" t="s">
        <v>102</v>
      </c>
      <c r="I960" t="s">
        <v>68</v>
      </c>
      <c r="J960" t="s">
        <v>49</v>
      </c>
      <c r="K960" t="s">
        <v>58</v>
      </c>
      <c r="L960" s="19">
        <v>1</v>
      </c>
      <c r="M960" s="20">
        <v>886000</v>
      </c>
      <c r="N960" s="20">
        <v>770800</v>
      </c>
      <c r="O960" s="20">
        <f t="shared" si="44"/>
        <v>115200</v>
      </c>
      <c r="P960" t="s">
        <v>78</v>
      </c>
    </row>
    <row r="961" spans="1:16">
      <c r="A961" t="s">
        <v>1041</v>
      </c>
      <c r="B961" s="18">
        <v>46298</v>
      </c>
      <c r="C961" s="19">
        <f t="shared" si="42"/>
        <v>2026</v>
      </c>
      <c r="D961" s="19" t="str">
        <f t="shared" si="43"/>
        <v>Oct</v>
      </c>
      <c r="E961" t="s">
        <v>33</v>
      </c>
      <c r="F961" t="s">
        <v>34</v>
      </c>
      <c r="G961" t="s">
        <v>34</v>
      </c>
      <c r="H961" t="s">
        <v>35</v>
      </c>
      <c r="I961" t="s">
        <v>21</v>
      </c>
      <c r="J961" t="s">
        <v>22</v>
      </c>
      <c r="K961" t="s">
        <v>23</v>
      </c>
      <c r="L961" s="19">
        <v>1</v>
      </c>
      <c r="M961" s="20">
        <v>1904000</v>
      </c>
      <c r="N961" s="20">
        <v>1589400</v>
      </c>
      <c r="O961" s="20">
        <f t="shared" si="44"/>
        <v>314600</v>
      </c>
      <c r="P961" t="s">
        <v>37</v>
      </c>
    </row>
    <row r="962" spans="1:16">
      <c r="A962" t="s">
        <v>1042</v>
      </c>
      <c r="B962" s="18">
        <v>46298</v>
      </c>
      <c r="C962" s="19">
        <f t="shared" ref="C962:C1011" si="45">YEAR(B962)</f>
        <v>2026</v>
      </c>
      <c r="D962" s="19" t="str">
        <f t="shared" ref="D962:D1011" si="46">CHOOSE(MONTH(B962),"Jan","Feb","Mar","Apr","May","Jun","Jul","Aug","Sep","Oct","Nov","Dec")</f>
        <v>Oct</v>
      </c>
      <c r="E962" t="s">
        <v>17</v>
      </c>
      <c r="F962" t="s">
        <v>18</v>
      </c>
      <c r="G962" t="s">
        <v>19</v>
      </c>
      <c r="H962" t="s">
        <v>74</v>
      </c>
      <c r="I962" t="s">
        <v>48</v>
      </c>
      <c r="J962" t="s">
        <v>49</v>
      </c>
      <c r="K962" t="s">
        <v>42</v>
      </c>
      <c r="L962" s="19">
        <v>1</v>
      </c>
      <c r="M962" s="20">
        <v>1246000</v>
      </c>
      <c r="N962" s="20">
        <v>1028800</v>
      </c>
      <c r="O962" s="20">
        <f t="shared" ref="O962:O1011" si="47">M962-N962</f>
        <v>217200</v>
      </c>
      <c r="P962" t="s">
        <v>24</v>
      </c>
    </row>
    <row r="963" spans="1:16">
      <c r="A963" t="s">
        <v>1043</v>
      </c>
      <c r="B963" s="18">
        <v>46299</v>
      </c>
      <c r="C963" s="19">
        <f t="shared" si="45"/>
        <v>2026</v>
      </c>
      <c r="D963" s="19" t="str">
        <f t="shared" si="46"/>
        <v>Oct</v>
      </c>
      <c r="E963" t="s">
        <v>17</v>
      </c>
      <c r="F963" t="s">
        <v>18</v>
      </c>
      <c r="G963" t="s">
        <v>60</v>
      </c>
      <c r="H963" t="s">
        <v>61</v>
      </c>
      <c r="I963" t="s">
        <v>21</v>
      </c>
      <c r="J963" t="s">
        <v>22</v>
      </c>
      <c r="K963" t="s">
        <v>23</v>
      </c>
      <c r="L963" s="19">
        <v>1</v>
      </c>
      <c r="M963" s="20">
        <v>1868000</v>
      </c>
      <c r="N963" s="20">
        <v>1604200</v>
      </c>
      <c r="O963" s="20">
        <f t="shared" si="47"/>
        <v>263800</v>
      </c>
      <c r="P963" t="s">
        <v>37</v>
      </c>
    </row>
    <row r="964" spans="1:16">
      <c r="A964" t="s">
        <v>1044</v>
      </c>
      <c r="B964" s="18">
        <v>46299</v>
      </c>
      <c r="C964" s="19">
        <f t="shared" si="45"/>
        <v>2026</v>
      </c>
      <c r="D964" s="19" t="str">
        <f t="shared" si="46"/>
        <v>Oct</v>
      </c>
      <c r="E964" t="s">
        <v>33</v>
      </c>
      <c r="F964" t="s">
        <v>34</v>
      </c>
      <c r="G964" t="s">
        <v>34</v>
      </c>
      <c r="H964" t="s">
        <v>102</v>
      </c>
      <c r="I964" t="s">
        <v>68</v>
      </c>
      <c r="J964" t="s">
        <v>49</v>
      </c>
      <c r="K964" t="s">
        <v>58</v>
      </c>
      <c r="L964" s="19">
        <v>1</v>
      </c>
      <c r="M964" s="20">
        <v>938000</v>
      </c>
      <c r="N964" s="20">
        <v>765500</v>
      </c>
      <c r="O964" s="20">
        <f t="shared" si="47"/>
        <v>172500</v>
      </c>
      <c r="P964" t="s">
        <v>37</v>
      </c>
    </row>
    <row r="965" spans="1:16">
      <c r="A965" t="s">
        <v>1045</v>
      </c>
      <c r="B965" s="18">
        <v>46299</v>
      </c>
      <c r="C965" s="19">
        <f t="shared" si="45"/>
        <v>2026</v>
      </c>
      <c r="D965" s="19" t="str">
        <f t="shared" si="46"/>
        <v>Oct</v>
      </c>
      <c r="E965" t="s">
        <v>26</v>
      </c>
      <c r="F965" t="s">
        <v>65</v>
      </c>
      <c r="G965" t="s">
        <v>66</v>
      </c>
      <c r="H965" t="s">
        <v>67</v>
      </c>
      <c r="I965" t="s">
        <v>71</v>
      </c>
      <c r="J965" t="s">
        <v>49</v>
      </c>
      <c r="K965" t="s">
        <v>58</v>
      </c>
      <c r="L965" s="19">
        <v>1</v>
      </c>
      <c r="M965" s="20">
        <v>1049000</v>
      </c>
      <c r="N965" s="20">
        <v>845500</v>
      </c>
      <c r="O965" s="20">
        <f t="shared" si="47"/>
        <v>203500</v>
      </c>
      <c r="P965" t="s">
        <v>31</v>
      </c>
    </row>
    <row r="966" spans="1:16">
      <c r="A966" t="s">
        <v>1046</v>
      </c>
      <c r="B966" s="18">
        <v>46301</v>
      </c>
      <c r="C966" s="19">
        <f t="shared" si="45"/>
        <v>2026</v>
      </c>
      <c r="D966" s="19" t="str">
        <f t="shared" si="46"/>
        <v>Oct</v>
      </c>
      <c r="E966" t="s">
        <v>44</v>
      </c>
      <c r="F966" t="s">
        <v>45</v>
      </c>
      <c r="G966" t="s">
        <v>46</v>
      </c>
      <c r="H966" t="s">
        <v>47</v>
      </c>
      <c r="I966" t="s">
        <v>71</v>
      </c>
      <c r="J966" t="s">
        <v>49</v>
      </c>
      <c r="K966" t="s">
        <v>58</v>
      </c>
      <c r="L966" s="19">
        <v>1</v>
      </c>
      <c r="M966" s="20">
        <v>994000</v>
      </c>
      <c r="N966" s="20">
        <v>869200</v>
      </c>
      <c r="O966" s="20">
        <f t="shared" si="47"/>
        <v>124800</v>
      </c>
      <c r="P966" t="s">
        <v>31</v>
      </c>
    </row>
    <row r="967" spans="1:16">
      <c r="A967" t="s">
        <v>1047</v>
      </c>
      <c r="B967" s="18">
        <v>46301</v>
      </c>
      <c r="C967" s="19">
        <f t="shared" si="45"/>
        <v>2026</v>
      </c>
      <c r="D967" s="19" t="str">
        <f t="shared" si="46"/>
        <v>Oct</v>
      </c>
      <c r="E967" t="s">
        <v>26</v>
      </c>
      <c r="F967" t="s">
        <v>27</v>
      </c>
      <c r="G967" t="s">
        <v>28</v>
      </c>
      <c r="H967" t="s">
        <v>39</v>
      </c>
      <c r="I967" t="s">
        <v>56</v>
      </c>
      <c r="J967" t="s">
        <v>57</v>
      </c>
      <c r="K967" t="s">
        <v>58</v>
      </c>
      <c r="L967" s="19">
        <v>1</v>
      </c>
      <c r="M967" s="20">
        <v>1188000</v>
      </c>
      <c r="N967" s="20">
        <v>1014900</v>
      </c>
      <c r="O967" s="20">
        <f t="shared" si="47"/>
        <v>173100</v>
      </c>
      <c r="P967" t="s">
        <v>72</v>
      </c>
    </row>
    <row r="968" spans="1:16">
      <c r="A968" t="s">
        <v>1048</v>
      </c>
      <c r="B968" s="18">
        <v>46301</v>
      </c>
      <c r="C968" s="19">
        <f t="shared" si="45"/>
        <v>2026</v>
      </c>
      <c r="D968" s="19" t="str">
        <f t="shared" si="46"/>
        <v>Oct</v>
      </c>
      <c r="E968" t="s">
        <v>26</v>
      </c>
      <c r="F968" t="s">
        <v>27</v>
      </c>
      <c r="G968" t="s">
        <v>28</v>
      </c>
      <c r="H968" t="s">
        <v>39</v>
      </c>
      <c r="I968" t="s">
        <v>68</v>
      </c>
      <c r="J968" t="s">
        <v>49</v>
      </c>
      <c r="K968" t="s">
        <v>58</v>
      </c>
      <c r="L968" s="19">
        <v>1</v>
      </c>
      <c r="M968" s="20">
        <v>889000</v>
      </c>
      <c r="N968" s="20">
        <v>775500</v>
      </c>
      <c r="O968" s="20">
        <f t="shared" si="47"/>
        <v>113500</v>
      </c>
      <c r="P968" t="s">
        <v>31</v>
      </c>
    </row>
    <row r="969" spans="1:16">
      <c r="A969" t="s">
        <v>1049</v>
      </c>
      <c r="B969" s="18">
        <v>46301</v>
      </c>
      <c r="C969" s="19">
        <f t="shared" si="45"/>
        <v>2026</v>
      </c>
      <c r="D969" s="19" t="str">
        <f t="shared" si="46"/>
        <v>Oct</v>
      </c>
      <c r="E969" t="s">
        <v>17</v>
      </c>
      <c r="F969" t="s">
        <v>18</v>
      </c>
      <c r="G969" t="s">
        <v>60</v>
      </c>
      <c r="H969" t="s">
        <v>61</v>
      </c>
      <c r="I969" t="s">
        <v>48</v>
      </c>
      <c r="J969" t="s">
        <v>49</v>
      </c>
      <c r="K969" t="s">
        <v>42</v>
      </c>
      <c r="L969" s="19">
        <v>1</v>
      </c>
      <c r="M969" s="20">
        <v>1232000</v>
      </c>
      <c r="N969" s="20">
        <v>1037600</v>
      </c>
      <c r="O969" s="20">
        <f t="shared" si="47"/>
        <v>194400</v>
      </c>
      <c r="P969" t="s">
        <v>54</v>
      </c>
    </row>
    <row r="970" spans="1:16">
      <c r="A970" t="s">
        <v>1050</v>
      </c>
      <c r="B970" s="18">
        <v>46301</v>
      </c>
      <c r="C970" s="19">
        <f t="shared" si="45"/>
        <v>2026</v>
      </c>
      <c r="D970" s="19" t="str">
        <f t="shared" si="46"/>
        <v>Oct</v>
      </c>
      <c r="E970" t="s">
        <v>33</v>
      </c>
      <c r="F970" t="s">
        <v>34</v>
      </c>
      <c r="G970" t="s">
        <v>34</v>
      </c>
      <c r="H970" t="s">
        <v>35</v>
      </c>
      <c r="I970" t="s">
        <v>63</v>
      </c>
      <c r="J970" t="s">
        <v>41</v>
      </c>
      <c r="K970" t="s">
        <v>58</v>
      </c>
      <c r="L970" s="19">
        <v>1</v>
      </c>
      <c r="M970" s="20">
        <v>1319000</v>
      </c>
      <c r="N970" s="20">
        <v>1106000</v>
      </c>
      <c r="O970" s="20">
        <f t="shared" si="47"/>
        <v>213000</v>
      </c>
      <c r="P970" t="s">
        <v>24</v>
      </c>
    </row>
    <row r="971" spans="1:16">
      <c r="A971" t="s">
        <v>1051</v>
      </c>
      <c r="B971" s="18">
        <v>46301</v>
      </c>
      <c r="C971" s="19">
        <f t="shared" si="45"/>
        <v>2026</v>
      </c>
      <c r="D971" s="19" t="str">
        <f t="shared" si="46"/>
        <v>Oct</v>
      </c>
      <c r="E971" t="s">
        <v>33</v>
      </c>
      <c r="F971" t="s">
        <v>34</v>
      </c>
      <c r="G971" t="s">
        <v>34</v>
      </c>
      <c r="H971" t="s">
        <v>102</v>
      </c>
      <c r="I971" t="s">
        <v>56</v>
      </c>
      <c r="J971" t="s">
        <v>57</v>
      </c>
      <c r="K971" t="s">
        <v>58</v>
      </c>
      <c r="L971" s="19">
        <v>1</v>
      </c>
      <c r="M971" s="20">
        <v>1190000</v>
      </c>
      <c r="N971" s="20">
        <v>994500</v>
      </c>
      <c r="O971" s="20">
        <f t="shared" si="47"/>
        <v>195500</v>
      </c>
      <c r="P971" t="s">
        <v>24</v>
      </c>
    </row>
    <row r="972" spans="1:16">
      <c r="A972" t="s">
        <v>1052</v>
      </c>
      <c r="B972" s="18">
        <v>46302</v>
      </c>
      <c r="C972" s="19">
        <f t="shared" si="45"/>
        <v>2026</v>
      </c>
      <c r="D972" s="19" t="str">
        <f t="shared" si="46"/>
        <v>Oct</v>
      </c>
      <c r="E972" t="s">
        <v>17</v>
      </c>
      <c r="F972" t="s">
        <v>18</v>
      </c>
      <c r="G972" t="s">
        <v>19</v>
      </c>
      <c r="H972" t="s">
        <v>74</v>
      </c>
      <c r="I972" t="s">
        <v>171</v>
      </c>
      <c r="J972" t="s">
        <v>22</v>
      </c>
      <c r="K972" t="s">
        <v>42</v>
      </c>
      <c r="L972" s="19">
        <v>1</v>
      </c>
      <c r="M972" s="20">
        <v>6195000</v>
      </c>
      <c r="N972" s="20">
        <v>5151500</v>
      </c>
      <c r="O972" s="20">
        <f t="shared" si="47"/>
        <v>1043500</v>
      </c>
      <c r="P972" t="s">
        <v>72</v>
      </c>
    </row>
    <row r="973" spans="1:16">
      <c r="A973" t="s">
        <v>1053</v>
      </c>
      <c r="B973" s="18">
        <v>46302</v>
      </c>
      <c r="C973" s="19">
        <f t="shared" si="45"/>
        <v>2026</v>
      </c>
      <c r="D973" s="19" t="str">
        <f t="shared" si="46"/>
        <v>Oct</v>
      </c>
      <c r="E973" t="s">
        <v>33</v>
      </c>
      <c r="F973" t="s">
        <v>34</v>
      </c>
      <c r="G973" t="s">
        <v>34</v>
      </c>
      <c r="H973" t="s">
        <v>102</v>
      </c>
      <c r="I973" t="s">
        <v>48</v>
      </c>
      <c r="J973" t="s">
        <v>49</v>
      </c>
      <c r="K973" t="s">
        <v>42</v>
      </c>
      <c r="L973" s="19">
        <v>1</v>
      </c>
      <c r="M973" s="20">
        <v>1271000</v>
      </c>
      <c r="N973" s="20">
        <v>1087500</v>
      </c>
      <c r="O973" s="20">
        <f t="shared" si="47"/>
        <v>183500</v>
      </c>
      <c r="P973" t="s">
        <v>24</v>
      </c>
    </row>
    <row r="974" spans="1:16">
      <c r="A974" t="s">
        <v>1054</v>
      </c>
      <c r="B974" s="18">
        <v>46302</v>
      </c>
      <c r="C974" s="19">
        <f t="shared" si="45"/>
        <v>2026</v>
      </c>
      <c r="D974" s="19" t="str">
        <f t="shared" si="46"/>
        <v>Oct</v>
      </c>
      <c r="E974" t="s">
        <v>33</v>
      </c>
      <c r="F974" t="s">
        <v>92</v>
      </c>
      <c r="G974" t="s">
        <v>93</v>
      </c>
      <c r="H974" t="s">
        <v>94</v>
      </c>
      <c r="I974" t="s">
        <v>171</v>
      </c>
      <c r="J974" t="s">
        <v>22</v>
      </c>
      <c r="K974" t="s">
        <v>42</v>
      </c>
      <c r="L974" s="19">
        <v>1</v>
      </c>
      <c r="M974" s="20">
        <v>6357000</v>
      </c>
      <c r="N974" s="20">
        <v>5442100</v>
      </c>
      <c r="O974" s="20">
        <f t="shared" si="47"/>
        <v>914900</v>
      </c>
      <c r="P974" t="s">
        <v>24</v>
      </c>
    </row>
    <row r="975" spans="1:16">
      <c r="A975" t="s">
        <v>1055</v>
      </c>
      <c r="B975" s="18">
        <v>46302</v>
      </c>
      <c r="C975" s="19">
        <f t="shared" si="45"/>
        <v>2026</v>
      </c>
      <c r="D975" s="19" t="str">
        <f t="shared" si="46"/>
        <v>Oct</v>
      </c>
      <c r="E975" t="s">
        <v>33</v>
      </c>
      <c r="F975" t="s">
        <v>34</v>
      </c>
      <c r="G975" t="s">
        <v>34</v>
      </c>
      <c r="H975" t="s">
        <v>35</v>
      </c>
      <c r="I975" t="s">
        <v>40</v>
      </c>
      <c r="J975" t="s">
        <v>41</v>
      </c>
      <c r="K975" t="s">
        <v>42</v>
      </c>
      <c r="L975" s="19">
        <v>1</v>
      </c>
      <c r="M975" s="20">
        <v>1706000</v>
      </c>
      <c r="N975" s="20">
        <v>1434000</v>
      </c>
      <c r="O975" s="20">
        <f t="shared" si="47"/>
        <v>272000</v>
      </c>
      <c r="P975" t="s">
        <v>78</v>
      </c>
    </row>
    <row r="976" spans="1:16">
      <c r="A976" t="s">
        <v>1056</v>
      </c>
      <c r="B976" s="18">
        <v>46304</v>
      </c>
      <c r="C976" s="19">
        <f t="shared" si="45"/>
        <v>2026</v>
      </c>
      <c r="D976" s="19" t="str">
        <f t="shared" si="46"/>
        <v>Oct</v>
      </c>
      <c r="E976" t="s">
        <v>26</v>
      </c>
      <c r="F976" t="s">
        <v>131</v>
      </c>
      <c r="G976" t="s">
        <v>132</v>
      </c>
      <c r="H976" t="s">
        <v>133</v>
      </c>
      <c r="I976" t="s">
        <v>121</v>
      </c>
      <c r="J976" t="s">
        <v>57</v>
      </c>
      <c r="K976" t="s">
        <v>42</v>
      </c>
      <c r="L976" s="19">
        <v>1</v>
      </c>
      <c r="M976" s="20">
        <v>1546000</v>
      </c>
      <c r="N976" s="20">
        <v>1317100</v>
      </c>
      <c r="O976" s="20">
        <f t="shared" si="47"/>
        <v>228900</v>
      </c>
      <c r="P976" t="s">
        <v>24</v>
      </c>
    </row>
    <row r="977" spans="1:16">
      <c r="A977" t="s">
        <v>1057</v>
      </c>
      <c r="B977" s="18">
        <v>46304</v>
      </c>
      <c r="C977" s="19">
        <f t="shared" si="45"/>
        <v>2026</v>
      </c>
      <c r="D977" s="19" t="str">
        <f t="shared" si="46"/>
        <v>Oct</v>
      </c>
      <c r="E977" t="s">
        <v>17</v>
      </c>
      <c r="F977" t="s">
        <v>51</v>
      </c>
      <c r="G977" t="s">
        <v>98</v>
      </c>
      <c r="H977" t="s">
        <v>99</v>
      </c>
      <c r="I977" t="s">
        <v>30</v>
      </c>
      <c r="J977" t="s">
        <v>22</v>
      </c>
      <c r="K977" t="s">
        <v>23</v>
      </c>
      <c r="L977" s="19">
        <v>1</v>
      </c>
      <c r="M977" s="20">
        <v>1752000</v>
      </c>
      <c r="N977" s="20">
        <v>1452100</v>
      </c>
      <c r="O977" s="20">
        <f t="shared" si="47"/>
        <v>299900</v>
      </c>
      <c r="P977" t="s">
        <v>31</v>
      </c>
    </row>
    <row r="978" spans="1:16">
      <c r="A978" t="s">
        <v>1058</v>
      </c>
      <c r="B978" s="18">
        <v>46304</v>
      </c>
      <c r="C978" s="19">
        <f t="shared" si="45"/>
        <v>2026</v>
      </c>
      <c r="D978" s="19" t="str">
        <f t="shared" si="46"/>
        <v>Oct</v>
      </c>
      <c r="E978" t="s">
        <v>17</v>
      </c>
      <c r="F978" t="s">
        <v>18</v>
      </c>
      <c r="G978" t="s">
        <v>19</v>
      </c>
      <c r="H978" t="s">
        <v>20</v>
      </c>
      <c r="I978" t="s">
        <v>40</v>
      </c>
      <c r="J978" t="s">
        <v>41</v>
      </c>
      <c r="K978" t="s">
        <v>42</v>
      </c>
      <c r="L978" s="19">
        <v>1</v>
      </c>
      <c r="M978" s="20">
        <v>1695000</v>
      </c>
      <c r="N978" s="20">
        <v>1367800</v>
      </c>
      <c r="O978" s="20">
        <f t="shared" si="47"/>
        <v>327200</v>
      </c>
      <c r="P978" t="s">
        <v>31</v>
      </c>
    </row>
    <row r="979" spans="1:16">
      <c r="A979" t="s">
        <v>1059</v>
      </c>
      <c r="B979" s="18">
        <v>46305</v>
      </c>
      <c r="C979" s="19">
        <f t="shared" si="45"/>
        <v>2026</v>
      </c>
      <c r="D979" s="19" t="str">
        <f t="shared" si="46"/>
        <v>Oct</v>
      </c>
      <c r="E979" t="s">
        <v>26</v>
      </c>
      <c r="F979" t="s">
        <v>27</v>
      </c>
      <c r="G979" t="s">
        <v>28</v>
      </c>
      <c r="H979" t="s">
        <v>29</v>
      </c>
      <c r="I979" t="s">
        <v>71</v>
      </c>
      <c r="J979" t="s">
        <v>49</v>
      </c>
      <c r="K979" t="s">
        <v>58</v>
      </c>
      <c r="L979" s="19">
        <v>1</v>
      </c>
      <c r="M979" s="20">
        <v>975000</v>
      </c>
      <c r="N979" s="20">
        <v>824200</v>
      </c>
      <c r="O979" s="20">
        <f t="shared" si="47"/>
        <v>150800</v>
      </c>
      <c r="P979" t="s">
        <v>54</v>
      </c>
    </row>
    <row r="980" spans="1:16">
      <c r="A980" t="s">
        <v>1060</v>
      </c>
      <c r="B980" s="18">
        <v>46306</v>
      </c>
      <c r="C980" s="19">
        <f t="shared" si="45"/>
        <v>2026</v>
      </c>
      <c r="D980" s="19" t="str">
        <f t="shared" si="46"/>
        <v>Oct</v>
      </c>
      <c r="E980" t="s">
        <v>26</v>
      </c>
      <c r="F980" t="s">
        <v>27</v>
      </c>
      <c r="G980" t="s">
        <v>28</v>
      </c>
      <c r="H980" t="s">
        <v>29</v>
      </c>
      <c r="I980" t="s">
        <v>63</v>
      </c>
      <c r="J980" t="s">
        <v>41</v>
      </c>
      <c r="K980" t="s">
        <v>58</v>
      </c>
      <c r="L980" s="19">
        <v>1</v>
      </c>
      <c r="M980" s="20">
        <v>1318000</v>
      </c>
      <c r="N980" s="20">
        <v>1093100</v>
      </c>
      <c r="O980" s="20">
        <f t="shared" si="47"/>
        <v>224900</v>
      </c>
      <c r="P980" t="s">
        <v>31</v>
      </c>
    </row>
    <row r="981" spans="1:16">
      <c r="A981" t="s">
        <v>1061</v>
      </c>
      <c r="B981" s="18">
        <v>46306</v>
      </c>
      <c r="C981" s="19">
        <f t="shared" si="45"/>
        <v>2026</v>
      </c>
      <c r="D981" s="19" t="str">
        <f t="shared" si="46"/>
        <v>Oct</v>
      </c>
      <c r="E981" t="s">
        <v>26</v>
      </c>
      <c r="F981" t="s">
        <v>65</v>
      </c>
      <c r="G981" t="s">
        <v>66</v>
      </c>
      <c r="H981" t="s">
        <v>67</v>
      </c>
      <c r="I981" t="s">
        <v>40</v>
      </c>
      <c r="J981" t="s">
        <v>41</v>
      </c>
      <c r="K981" t="s">
        <v>42</v>
      </c>
      <c r="L981" s="19">
        <v>1</v>
      </c>
      <c r="M981" s="20">
        <v>1702000</v>
      </c>
      <c r="N981" s="20">
        <v>1461800</v>
      </c>
      <c r="O981" s="20">
        <f t="shared" si="47"/>
        <v>240200</v>
      </c>
      <c r="P981" t="s">
        <v>72</v>
      </c>
    </row>
    <row r="982" spans="1:16">
      <c r="A982" t="s">
        <v>1062</v>
      </c>
      <c r="B982" s="18">
        <v>46306</v>
      </c>
      <c r="C982" s="19">
        <f t="shared" si="45"/>
        <v>2026</v>
      </c>
      <c r="D982" s="19" t="str">
        <f t="shared" si="46"/>
        <v>Oct</v>
      </c>
      <c r="E982" t="s">
        <v>33</v>
      </c>
      <c r="F982" t="s">
        <v>81</v>
      </c>
      <c r="G982" t="s">
        <v>82</v>
      </c>
      <c r="H982" t="s">
        <v>83</v>
      </c>
      <c r="I982" t="s">
        <v>40</v>
      </c>
      <c r="J982" t="s">
        <v>41</v>
      </c>
      <c r="K982" t="s">
        <v>42</v>
      </c>
      <c r="L982" s="19">
        <v>1</v>
      </c>
      <c r="M982" s="20">
        <v>1691000</v>
      </c>
      <c r="N982" s="20">
        <v>1385800</v>
      </c>
      <c r="O982" s="20">
        <f t="shared" si="47"/>
        <v>305200</v>
      </c>
      <c r="P982" t="s">
        <v>24</v>
      </c>
    </row>
    <row r="983" spans="1:16">
      <c r="A983" t="s">
        <v>1063</v>
      </c>
      <c r="B983" s="18">
        <v>46306</v>
      </c>
      <c r="C983" s="19">
        <f t="shared" si="45"/>
        <v>2026</v>
      </c>
      <c r="D983" s="19" t="str">
        <f t="shared" si="46"/>
        <v>Oct</v>
      </c>
      <c r="E983" t="s">
        <v>44</v>
      </c>
      <c r="F983" t="s">
        <v>118</v>
      </c>
      <c r="G983" t="s">
        <v>119</v>
      </c>
      <c r="H983" t="s">
        <v>120</v>
      </c>
      <c r="I983" t="s">
        <v>121</v>
      </c>
      <c r="J983" t="s">
        <v>57</v>
      </c>
      <c r="K983" t="s">
        <v>42</v>
      </c>
      <c r="L983" s="19">
        <v>2</v>
      </c>
      <c r="M983" s="20">
        <v>3123000</v>
      </c>
      <c r="N983" s="20">
        <v>2525500</v>
      </c>
      <c r="O983" s="20">
        <f t="shared" si="47"/>
        <v>597500</v>
      </c>
      <c r="P983" t="s">
        <v>72</v>
      </c>
    </row>
    <row r="984" spans="1:16">
      <c r="A984" t="s">
        <v>1064</v>
      </c>
      <c r="B984" s="18">
        <v>46307</v>
      </c>
      <c r="C984" s="19">
        <f t="shared" si="45"/>
        <v>2026</v>
      </c>
      <c r="D984" s="19" t="str">
        <f t="shared" si="46"/>
        <v>Oct</v>
      </c>
      <c r="E984" t="s">
        <v>17</v>
      </c>
      <c r="F984" t="s">
        <v>51</v>
      </c>
      <c r="G984" t="s">
        <v>52</v>
      </c>
      <c r="H984" t="s">
        <v>70</v>
      </c>
      <c r="I984" t="s">
        <v>71</v>
      </c>
      <c r="J984" t="s">
        <v>49</v>
      </c>
      <c r="K984" t="s">
        <v>58</v>
      </c>
      <c r="L984" s="19">
        <v>1</v>
      </c>
      <c r="M984" s="20">
        <v>1048000</v>
      </c>
      <c r="N984" s="20">
        <v>900100</v>
      </c>
      <c r="O984" s="20">
        <f t="shared" si="47"/>
        <v>147900</v>
      </c>
      <c r="P984" t="s">
        <v>31</v>
      </c>
    </row>
    <row r="985" spans="1:16">
      <c r="A985" t="s">
        <v>1065</v>
      </c>
      <c r="B985" s="18">
        <v>46307</v>
      </c>
      <c r="C985" s="19">
        <f t="shared" si="45"/>
        <v>2026</v>
      </c>
      <c r="D985" s="19" t="str">
        <f t="shared" si="46"/>
        <v>Oct</v>
      </c>
      <c r="E985" t="s">
        <v>17</v>
      </c>
      <c r="F985" t="s">
        <v>51</v>
      </c>
      <c r="G985" t="s">
        <v>52</v>
      </c>
      <c r="H985" t="s">
        <v>53</v>
      </c>
      <c r="I985" t="s">
        <v>56</v>
      </c>
      <c r="J985" t="s">
        <v>57</v>
      </c>
      <c r="K985" t="s">
        <v>58</v>
      </c>
      <c r="L985" s="19">
        <v>1</v>
      </c>
      <c r="M985" s="20">
        <v>1173000</v>
      </c>
      <c r="N985" s="20">
        <v>944800</v>
      </c>
      <c r="O985" s="20">
        <f t="shared" si="47"/>
        <v>228200</v>
      </c>
      <c r="P985" t="s">
        <v>31</v>
      </c>
    </row>
    <row r="986" spans="1:16">
      <c r="A986" t="s">
        <v>1066</v>
      </c>
      <c r="B986" s="18">
        <v>46308</v>
      </c>
      <c r="C986" s="19">
        <f t="shared" si="45"/>
        <v>2026</v>
      </c>
      <c r="D986" s="19" t="str">
        <f t="shared" si="46"/>
        <v>Oct</v>
      </c>
      <c r="E986" t="s">
        <v>33</v>
      </c>
      <c r="F986" t="s">
        <v>92</v>
      </c>
      <c r="G986" t="s">
        <v>93</v>
      </c>
      <c r="H986" t="s">
        <v>94</v>
      </c>
      <c r="I986" t="s">
        <v>71</v>
      </c>
      <c r="J986" t="s">
        <v>49</v>
      </c>
      <c r="K986" t="s">
        <v>58</v>
      </c>
      <c r="L986" s="19">
        <v>1</v>
      </c>
      <c r="M986" s="20">
        <v>1021000</v>
      </c>
      <c r="N986" s="20">
        <v>844700</v>
      </c>
      <c r="O986" s="20">
        <f t="shared" si="47"/>
        <v>176300</v>
      </c>
      <c r="P986" t="s">
        <v>78</v>
      </c>
    </row>
    <row r="987" spans="1:16">
      <c r="A987" t="s">
        <v>1067</v>
      </c>
      <c r="B987" s="18">
        <v>46309</v>
      </c>
      <c r="C987" s="19">
        <f t="shared" si="45"/>
        <v>2026</v>
      </c>
      <c r="D987" s="19" t="str">
        <f t="shared" si="46"/>
        <v>Oct</v>
      </c>
      <c r="E987" t="s">
        <v>17</v>
      </c>
      <c r="F987" t="s">
        <v>51</v>
      </c>
      <c r="G987" t="s">
        <v>52</v>
      </c>
      <c r="H987" t="s">
        <v>70</v>
      </c>
      <c r="I987" t="s">
        <v>21</v>
      </c>
      <c r="J987" t="s">
        <v>22</v>
      </c>
      <c r="K987" t="s">
        <v>23</v>
      </c>
      <c r="L987" s="19">
        <v>1</v>
      </c>
      <c r="M987" s="20">
        <v>1879000</v>
      </c>
      <c r="N987" s="20">
        <v>1516200</v>
      </c>
      <c r="O987" s="20">
        <f t="shared" si="47"/>
        <v>362800</v>
      </c>
      <c r="P987" t="s">
        <v>31</v>
      </c>
    </row>
    <row r="988" spans="1:16">
      <c r="A988" t="s">
        <v>1068</v>
      </c>
      <c r="B988" s="18">
        <v>46309</v>
      </c>
      <c r="C988" s="19">
        <f t="shared" si="45"/>
        <v>2026</v>
      </c>
      <c r="D988" s="19" t="str">
        <f t="shared" si="46"/>
        <v>Oct</v>
      </c>
      <c r="E988" t="s">
        <v>33</v>
      </c>
      <c r="F988" t="s">
        <v>34</v>
      </c>
      <c r="G988" t="s">
        <v>34</v>
      </c>
      <c r="H988" t="s">
        <v>35</v>
      </c>
      <c r="I988" t="s">
        <v>121</v>
      </c>
      <c r="J988" t="s">
        <v>57</v>
      </c>
      <c r="K988" t="s">
        <v>42</v>
      </c>
      <c r="L988" s="19">
        <v>1</v>
      </c>
      <c r="M988" s="20">
        <v>1626000</v>
      </c>
      <c r="N988" s="20">
        <v>1366800</v>
      </c>
      <c r="O988" s="20">
        <f t="shared" si="47"/>
        <v>259200</v>
      </c>
      <c r="P988" t="s">
        <v>24</v>
      </c>
    </row>
    <row r="989" spans="1:16">
      <c r="A989" t="s">
        <v>1069</v>
      </c>
      <c r="B989" s="18">
        <v>46310</v>
      </c>
      <c r="C989" s="19">
        <f t="shared" si="45"/>
        <v>2026</v>
      </c>
      <c r="D989" s="19" t="str">
        <f t="shared" si="46"/>
        <v>Oct</v>
      </c>
      <c r="E989" t="s">
        <v>33</v>
      </c>
      <c r="F989" t="s">
        <v>34</v>
      </c>
      <c r="G989" t="s">
        <v>34</v>
      </c>
      <c r="H989" t="s">
        <v>35</v>
      </c>
      <c r="I989" t="s">
        <v>40</v>
      </c>
      <c r="J989" t="s">
        <v>41</v>
      </c>
      <c r="K989" t="s">
        <v>42</v>
      </c>
      <c r="L989" s="19">
        <v>1</v>
      </c>
      <c r="M989" s="20">
        <v>1655000</v>
      </c>
      <c r="N989" s="20">
        <v>1454000</v>
      </c>
      <c r="O989" s="20">
        <f t="shared" si="47"/>
        <v>201000</v>
      </c>
      <c r="P989" t="s">
        <v>31</v>
      </c>
    </row>
    <row r="990" spans="1:16">
      <c r="A990" t="s">
        <v>1070</v>
      </c>
      <c r="B990" s="18">
        <v>46310</v>
      </c>
      <c r="C990" s="19">
        <f t="shared" si="45"/>
        <v>2026</v>
      </c>
      <c r="D990" s="19" t="str">
        <f t="shared" si="46"/>
        <v>Oct</v>
      </c>
      <c r="E990" t="s">
        <v>26</v>
      </c>
      <c r="F990" t="s">
        <v>27</v>
      </c>
      <c r="G990" t="s">
        <v>28</v>
      </c>
      <c r="H990" t="s">
        <v>29</v>
      </c>
      <c r="I990" t="s">
        <v>56</v>
      </c>
      <c r="J990" t="s">
        <v>57</v>
      </c>
      <c r="K990" t="s">
        <v>58</v>
      </c>
      <c r="L990" s="19">
        <v>1</v>
      </c>
      <c r="M990" s="20">
        <v>1183000</v>
      </c>
      <c r="N990" s="20">
        <v>999500</v>
      </c>
      <c r="O990" s="20">
        <f t="shared" si="47"/>
        <v>183500</v>
      </c>
      <c r="P990" t="s">
        <v>78</v>
      </c>
    </row>
    <row r="991" spans="1:16">
      <c r="A991" t="s">
        <v>1071</v>
      </c>
      <c r="B991" s="18">
        <v>46310</v>
      </c>
      <c r="C991" s="19">
        <f t="shared" si="45"/>
        <v>2026</v>
      </c>
      <c r="D991" s="19" t="str">
        <f t="shared" si="46"/>
        <v>Oct</v>
      </c>
      <c r="E991" t="s">
        <v>44</v>
      </c>
      <c r="F991" t="s">
        <v>45</v>
      </c>
      <c r="G991" t="s">
        <v>46</v>
      </c>
      <c r="H991" t="s">
        <v>47</v>
      </c>
      <c r="I991" t="s">
        <v>63</v>
      </c>
      <c r="J991" t="s">
        <v>41</v>
      </c>
      <c r="K991" t="s">
        <v>58</v>
      </c>
      <c r="L991" s="19">
        <v>1</v>
      </c>
      <c r="M991" s="20">
        <v>1355000</v>
      </c>
      <c r="N991" s="20">
        <v>1118800</v>
      </c>
      <c r="O991" s="20">
        <f t="shared" si="47"/>
        <v>236200</v>
      </c>
      <c r="P991" t="s">
        <v>24</v>
      </c>
    </row>
    <row r="992" spans="1:16">
      <c r="A992" t="s">
        <v>1072</v>
      </c>
      <c r="B992" s="18">
        <v>46310</v>
      </c>
      <c r="C992" s="19">
        <f t="shared" si="45"/>
        <v>2026</v>
      </c>
      <c r="D992" s="19" t="str">
        <f t="shared" si="46"/>
        <v>Oct</v>
      </c>
      <c r="E992" t="s">
        <v>33</v>
      </c>
      <c r="F992" t="s">
        <v>81</v>
      </c>
      <c r="G992" t="s">
        <v>82</v>
      </c>
      <c r="H992" t="s">
        <v>83</v>
      </c>
      <c r="I992" t="s">
        <v>40</v>
      </c>
      <c r="J992" t="s">
        <v>41</v>
      </c>
      <c r="K992" t="s">
        <v>42</v>
      </c>
      <c r="L992" s="19">
        <v>1</v>
      </c>
      <c r="M992" s="20">
        <v>1754000</v>
      </c>
      <c r="N992" s="20">
        <v>1517900</v>
      </c>
      <c r="O992" s="20">
        <f t="shared" si="47"/>
        <v>236100</v>
      </c>
      <c r="P992" t="s">
        <v>54</v>
      </c>
    </row>
    <row r="993" spans="1:16">
      <c r="A993" t="s">
        <v>1073</v>
      </c>
      <c r="B993" s="18">
        <v>46311</v>
      </c>
      <c r="C993" s="19">
        <f t="shared" si="45"/>
        <v>2026</v>
      </c>
      <c r="D993" s="19" t="str">
        <f t="shared" si="46"/>
        <v>Oct</v>
      </c>
      <c r="E993" t="s">
        <v>44</v>
      </c>
      <c r="F993" t="s">
        <v>45</v>
      </c>
      <c r="G993" t="s">
        <v>46</v>
      </c>
      <c r="H993" t="s">
        <v>47</v>
      </c>
      <c r="I993" t="s">
        <v>68</v>
      </c>
      <c r="J993" t="s">
        <v>49</v>
      </c>
      <c r="K993" t="s">
        <v>58</v>
      </c>
      <c r="L993" s="19">
        <v>1</v>
      </c>
      <c r="M993" s="20">
        <v>885000</v>
      </c>
      <c r="N993" s="20">
        <v>718100</v>
      </c>
      <c r="O993" s="20">
        <f t="shared" si="47"/>
        <v>166900</v>
      </c>
      <c r="P993" t="s">
        <v>24</v>
      </c>
    </row>
    <row r="994" spans="1:16">
      <c r="A994" t="s">
        <v>1074</v>
      </c>
      <c r="B994" s="18">
        <v>46312</v>
      </c>
      <c r="C994" s="19">
        <f t="shared" si="45"/>
        <v>2026</v>
      </c>
      <c r="D994" s="19" t="str">
        <f t="shared" si="46"/>
        <v>Oct</v>
      </c>
      <c r="E994" t="s">
        <v>26</v>
      </c>
      <c r="F994" t="s">
        <v>27</v>
      </c>
      <c r="G994" t="s">
        <v>28</v>
      </c>
      <c r="H994" t="s">
        <v>39</v>
      </c>
      <c r="I994" t="s">
        <v>63</v>
      </c>
      <c r="J994" t="s">
        <v>41</v>
      </c>
      <c r="K994" t="s">
        <v>58</v>
      </c>
      <c r="L994" s="19">
        <v>1</v>
      </c>
      <c r="M994" s="20">
        <v>1334000</v>
      </c>
      <c r="N994" s="20">
        <v>1164600</v>
      </c>
      <c r="O994" s="20">
        <f t="shared" si="47"/>
        <v>169400</v>
      </c>
      <c r="P994" t="s">
        <v>31</v>
      </c>
    </row>
    <row r="995" spans="1:16">
      <c r="A995" t="s">
        <v>1075</v>
      </c>
      <c r="B995" s="18">
        <v>46312</v>
      </c>
      <c r="C995" s="19">
        <f t="shared" si="45"/>
        <v>2026</v>
      </c>
      <c r="D995" s="19" t="str">
        <f t="shared" si="46"/>
        <v>Oct</v>
      </c>
      <c r="E995" t="s">
        <v>33</v>
      </c>
      <c r="F995" t="s">
        <v>92</v>
      </c>
      <c r="G995" t="s">
        <v>93</v>
      </c>
      <c r="H995" t="s">
        <v>94</v>
      </c>
      <c r="I995" t="s">
        <v>48</v>
      </c>
      <c r="J995" t="s">
        <v>49</v>
      </c>
      <c r="K995" t="s">
        <v>42</v>
      </c>
      <c r="L995" s="19">
        <v>2</v>
      </c>
      <c r="M995" s="20">
        <v>2446000</v>
      </c>
      <c r="N995" s="20">
        <v>2036500</v>
      </c>
      <c r="O995" s="20">
        <f t="shared" si="47"/>
        <v>409500</v>
      </c>
      <c r="P995" t="s">
        <v>24</v>
      </c>
    </row>
    <row r="996" spans="1:16">
      <c r="A996" t="s">
        <v>1076</v>
      </c>
      <c r="B996" s="18">
        <v>46312</v>
      </c>
      <c r="C996" s="19">
        <f t="shared" si="45"/>
        <v>2026</v>
      </c>
      <c r="D996" s="19" t="str">
        <f t="shared" si="46"/>
        <v>Oct</v>
      </c>
      <c r="E996" t="s">
        <v>17</v>
      </c>
      <c r="F996" t="s">
        <v>18</v>
      </c>
      <c r="G996" t="s">
        <v>19</v>
      </c>
      <c r="H996" t="s">
        <v>74</v>
      </c>
      <c r="I996" t="s">
        <v>68</v>
      </c>
      <c r="J996" t="s">
        <v>49</v>
      </c>
      <c r="K996" t="s">
        <v>58</v>
      </c>
      <c r="L996" s="19">
        <v>1</v>
      </c>
      <c r="M996" s="20">
        <v>910000</v>
      </c>
      <c r="N996" s="20">
        <v>786800</v>
      </c>
      <c r="O996" s="20">
        <f t="shared" si="47"/>
        <v>123200</v>
      </c>
      <c r="P996" t="s">
        <v>24</v>
      </c>
    </row>
    <row r="997" spans="1:16">
      <c r="A997" t="s">
        <v>1077</v>
      </c>
      <c r="B997" s="18">
        <v>46313</v>
      </c>
      <c r="C997" s="19">
        <f t="shared" si="45"/>
        <v>2026</v>
      </c>
      <c r="D997" s="19" t="str">
        <f t="shared" si="46"/>
        <v>Oct</v>
      </c>
      <c r="E997" t="s">
        <v>17</v>
      </c>
      <c r="F997" t="s">
        <v>51</v>
      </c>
      <c r="G997" t="s">
        <v>52</v>
      </c>
      <c r="H997" t="s">
        <v>70</v>
      </c>
      <c r="I997" t="s">
        <v>48</v>
      </c>
      <c r="J997" t="s">
        <v>49</v>
      </c>
      <c r="K997" t="s">
        <v>42</v>
      </c>
      <c r="L997" s="19">
        <v>1</v>
      </c>
      <c r="M997" s="20">
        <v>1239000</v>
      </c>
      <c r="N997" s="20">
        <v>1000200</v>
      </c>
      <c r="O997" s="20">
        <f t="shared" si="47"/>
        <v>238800</v>
      </c>
      <c r="P997" t="s">
        <v>31</v>
      </c>
    </row>
    <row r="998" spans="1:16">
      <c r="A998" t="s">
        <v>1078</v>
      </c>
      <c r="B998" s="18">
        <v>46313</v>
      </c>
      <c r="C998" s="19">
        <f t="shared" si="45"/>
        <v>2026</v>
      </c>
      <c r="D998" s="19" t="str">
        <f t="shared" si="46"/>
        <v>Oct</v>
      </c>
      <c r="E998" t="s">
        <v>33</v>
      </c>
      <c r="F998" t="s">
        <v>34</v>
      </c>
      <c r="G998" t="s">
        <v>34</v>
      </c>
      <c r="H998" t="s">
        <v>35</v>
      </c>
      <c r="I998" t="s">
        <v>68</v>
      </c>
      <c r="J998" t="s">
        <v>49</v>
      </c>
      <c r="K998" t="s">
        <v>58</v>
      </c>
      <c r="L998" s="19">
        <v>1</v>
      </c>
      <c r="M998" s="20">
        <v>895000</v>
      </c>
      <c r="N998" s="20">
        <v>737400</v>
      </c>
      <c r="O998" s="20">
        <f t="shared" si="47"/>
        <v>157600</v>
      </c>
      <c r="P998" t="s">
        <v>31</v>
      </c>
    </row>
    <row r="999" spans="1:16">
      <c r="A999" t="s">
        <v>1079</v>
      </c>
      <c r="B999" s="18">
        <v>46313</v>
      </c>
      <c r="C999" s="19">
        <f t="shared" si="45"/>
        <v>2026</v>
      </c>
      <c r="D999" s="19" t="str">
        <f t="shared" si="46"/>
        <v>Oct</v>
      </c>
      <c r="E999" t="s">
        <v>33</v>
      </c>
      <c r="F999" t="s">
        <v>34</v>
      </c>
      <c r="G999" t="s">
        <v>34</v>
      </c>
      <c r="H999" t="s">
        <v>102</v>
      </c>
      <c r="I999" t="s">
        <v>40</v>
      </c>
      <c r="J999" t="s">
        <v>41</v>
      </c>
      <c r="K999" t="s">
        <v>42</v>
      </c>
      <c r="L999" s="19">
        <v>1</v>
      </c>
      <c r="M999" s="20">
        <v>1735000</v>
      </c>
      <c r="N999" s="20">
        <v>1392400</v>
      </c>
      <c r="O999" s="20">
        <f t="shared" si="47"/>
        <v>342600</v>
      </c>
      <c r="P999" t="s">
        <v>24</v>
      </c>
    </row>
    <row r="1000" spans="1:16">
      <c r="A1000" t="s">
        <v>1080</v>
      </c>
      <c r="B1000" s="18">
        <v>46315</v>
      </c>
      <c r="C1000" s="19">
        <f t="shared" si="45"/>
        <v>2026</v>
      </c>
      <c r="D1000" s="19" t="str">
        <f t="shared" si="46"/>
        <v>Oct</v>
      </c>
      <c r="E1000" t="s">
        <v>17</v>
      </c>
      <c r="F1000" t="s">
        <v>18</v>
      </c>
      <c r="G1000" t="s">
        <v>19</v>
      </c>
      <c r="H1000" t="s">
        <v>74</v>
      </c>
      <c r="I1000" t="s">
        <v>68</v>
      </c>
      <c r="J1000" t="s">
        <v>49</v>
      </c>
      <c r="K1000" t="s">
        <v>58</v>
      </c>
      <c r="L1000" s="19">
        <v>1</v>
      </c>
      <c r="M1000" s="20">
        <v>950000</v>
      </c>
      <c r="N1000" s="20">
        <v>789100</v>
      </c>
      <c r="O1000" s="20">
        <f t="shared" si="47"/>
        <v>160900</v>
      </c>
      <c r="P1000" t="s">
        <v>24</v>
      </c>
    </row>
    <row r="1001" spans="1:16">
      <c r="A1001" t="s">
        <v>1081</v>
      </c>
      <c r="B1001" s="18">
        <v>46316</v>
      </c>
      <c r="C1001" s="19">
        <f t="shared" si="45"/>
        <v>2026</v>
      </c>
      <c r="D1001" s="19" t="str">
        <f t="shared" si="46"/>
        <v>Oct</v>
      </c>
      <c r="E1001" t="s">
        <v>26</v>
      </c>
      <c r="F1001" t="s">
        <v>27</v>
      </c>
      <c r="G1001" t="s">
        <v>28</v>
      </c>
      <c r="H1001" t="s">
        <v>39</v>
      </c>
      <c r="I1001" t="s">
        <v>121</v>
      </c>
      <c r="J1001" t="s">
        <v>57</v>
      </c>
      <c r="K1001" t="s">
        <v>42</v>
      </c>
      <c r="L1001" s="19">
        <v>1</v>
      </c>
      <c r="M1001" s="20">
        <v>1552000</v>
      </c>
      <c r="N1001" s="20">
        <v>1252100</v>
      </c>
      <c r="O1001" s="20">
        <f t="shared" si="47"/>
        <v>299900</v>
      </c>
      <c r="P1001" t="s">
        <v>54</v>
      </c>
    </row>
    <row r="1002" spans="1:16">
      <c r="A1002" t="s">
        <v>1082</v>
      </c>
      <c r="B1002" s="18">
        <v>46316</v>
      </c>
      <c r="C1002" s="19">
        <f t="shared" si="45"/>
        <v>2026</v>
      </c>
      <c r="D1002" s="19" t="str">
        <f t="shared" si="46"/>
        <v>Oct</v>
      </c>
      <c r="E1002" t="s">
        <v>17</v>
      </c>
      <c r="F1002" t="s">
        <v>51</v>
      </c>
      <c r="G1002" t="s">
        <v>98</v>
      </c>
      <c r="H1002" t="s">
        <v>99</v>
      </c>
      <c r="I1002" t="s">
        <v>68</v>
      </c>
      <c r="J1002" t="s">
        <v>49</v>
      </c>
      <c r="K1002" t="s">
        <v>58</v>
      </c>
      <c r="L1002" s="19">
        <v>1</v>
      </c>
      <c r="M1002" s="20">
        <v>894000</v>
      </c>
      <c r="N1002" s="20">
        <v>754800</v>
      </c>
      <c r="O1002" s="20">
        <f t="shared" si="47"/>
        <v>139200</v>
      </c>
      <c r="P1002" t="s">
        <v>24</v>
      </c>
    </row>
    <row r="1003" spans="1:16">
      <c r="A1003" t="s">
        <v>1083</v>
      </c>
      <c r="B1003" s="18">
        <v>46317</v>
      </c>
      <c r="C1003" s="19">
        <f t="shared" si="45"/>
        <v>2026</v>
      </c>
      <c r="D1003" s="19" t="str">
        <f t="shared" si="46"/>
        <v>Oct</v>
      </c>
      <c r="E1003" t="s">
        <v>26</v>
      </c>
      <c r="F1003" t="s">
        <v>131</v>
      </c>
      <c r="G1003" t="s">
        <v>132</v>
      </c>
      <c r="H1003" t="s">
        <v>133</v>
      </c>
      <c r="I1003" t="s">
        <v>71</v>
      </c>
      <c r="J1003" t="s">
        <v>49</v>
      </c>
      <c r="K1003" t="s">
        <v>58</v>
      </c>
      <c r="L1003" s="19">
        <v>1</v>
      </c>
      <c r="M1003" s="20">
        <v>1019000</v>
      </c>
      <c r="N1003" s="20">
        <v>820100</v>
      </c>
      <c r="O1003" s="20">
        <f t="shared" si="47"/>
        <v>198900</v>
      </c>
      <c r="P1003" t="s">
        <v>54</v>
      </c>
    </row>
    <row r="1004" spans="1:16">
      <c r="A1004" t="s">
        <v>1084</v>
      </c>
      <c r="B1004" s="18">
        <v>46317</v>
      </c>
      <c r="C1004" s="19">
        <f t="shared" si="45"/>
        <v>2026</v>
      </c>
      <c r="D1004" s="19" t="str">
        <f t="shared" si="46"/>
        <v>Oct</v>
      </c>
      <c r="E1004" t="s">
        <v>33</v>
      </c>
      <c r="F1004" t="s">
        <v>34</v>
      </c>
      <c r="G1004" t="s">
        <v>34</v>
      </c>
      <c r="H1004" t="s">
        <v>102</v>
      </c>
      <c r="I1004" t="s">
        <v>56</v>
      </c>
      <c r="J1004" t="s">
        <v>57</v>
      </c>
      <c r="K1004" t="s">
        <v>58</v>
      </c>
      <c r="L1004" s="19">
        <v>1</v>
      </c>
      <c r="M1004" s="20">
        <v>1261000</v>
      </c>
      <c r="N1004" s="20">
        <v>1039400</v>
      </c>
      <c r="O1004" s="20">
        <f t="shared" si="47"/>
        <v>221600</v>
      </c>
      <c r="P1004" t="s">
        <v>31</v>
      </c>
    </row>
    <row r="1005" spans="1:16">
      <c r="A1005" t="s">
        <v>1085</v>
      </c>
      <c r="B1005" s="18">
        <v>46317</v>
      </c>
      <c r="C1005" s="19">
        <f t="shared" si="45"/>
        <v>2026</v>
      </c>
      <c r="D1005" s="19" t="str">
        <f t="shared" si="46"/>
        <v>Oct</v>
      </c>
      <c r="E1005" t="s">
        <v>33</v>
      </c>
      <c r="F1005" t="s">
        <v>34</v>
      </c>
      <c r="G1005" t="s">
        <v>34</v>
      </c>
      <c r="H1005" t="s">
        <v>35</v>
      </c>
      <c r="I1005" t="s">
        <v>56</v>
      </c>
      <c r="J1005" t="s">
        <v>57</v>
      </c>
      <c r="K1005" t="s">
        <v>58</v>
      </c>
      <c r="L1005" s="19">
        <v>1</v>
      </c>
      <c r="M1005" s="20">
        <v>1226000</v>
      </c>
      <c r="N1005" s="20">
        <v>1039900</v>
      </c>
      <c r="O1005" s="20">
        <f t="shared" si="47"/>
        <v>186100</v>
      </c>
      <c r="P1005" t="s">
        <v>31</v>
      </c>
    </row>
    <row r="1006" spans="1:16">
      <c r="A1006" t="s">
        <v>1086</v>
      </c>
      <c r="B1006" s="18">
        <v>46318</v>
      </c>
      <c r="C1006" s="19">
        <f t="shared" si="45"/>
        <v>2026</v>
      </c>
      <c r="D1006" s="19" t="str">
        <f t="shared" si="46"/>
        <v>Oct</v>
      </c>
      <c r="E1006" t="s">
        <v>26</v>
      </c>
      <c r="F1006" t="s">
        <v>27</v>
      </c>
      <c r="G1006" t="s">
        <v>28</v>
      </c>
      <c r="H1006" t="s">
        <v>39</v>
      </c>
      <c r="I1006" t="s">
        <v>121</v>
      </c>
      <c r="J1006" t="s">
        <v>57</v>
      </c>
      <c r="K1006" t="s">
        <v>42</v>
      </c>
      <c r="L1006" s="19">
        <v>1</v>
      </c>
      <c r="M1006" s="20">
        <v>1634000</v>
      </c>
      <c r="N1006" s="20">
        <v>1334100</v>
      </c>
      <c r="O1006" s="20">
        <f t="shared" si="47"/>
        <v>299900</v>
      </c>
      <c r="P1006" t="s">
        <v>37</v>
      </c>
    </row>
    <row r="1007" spans="1:16">
      <c r="A1007" t="s">
        <v>1087</v>
      </c>
      <c r="B1007" s="18">
        <v>46319</v>
      </c>
      <c r="C1007" s="19">
        <f t="shared" si="45"/>
        <v>2026</v>
      </c>
      <c r="D1007" s="19" t="str">
        <f t="shared" si="46"/>
        <v>Oct</v>
      </c>
      <c r="E1007" t="s">
        <v>17</v>
      </c>
      <c r="F1007" t="s">
        <v>18</v>
      </c>
      <c r="G1007" t="s">
        <v>19</v>
      </c>
      <c r="H1007" t="s">
        <v>74</v>
      </c>
      <c r="I1007" t="s">
        <v>48</v>
      </c>
      <c r="J1007" t="s">
        <v>49</v>
      </c>
      <c r="K1007" t="s">
        <v>42</v>
      </c>
      <c r="L1007" s="19">
        <v>1</v>
      </c>
      <c r="M1007" s="20">
        <v>1227000</v>
      </c>
      <c r="N1007" s="20">
        <v>1010800</v>
      </c>
      <c r="O1007" s="20">
        <f t="shared" si="47"/>
        <v>216200</v>
      </c>
      <c r="P1007" t="s">
        <v>31</v>
      </c>
    </row>
    <row r="1008" spans="1:16">
      <c r="A1008" t="s">
        <v>1088</v>
      </c>
      <c r="B1008" s="18">
        <v>46319</v>
      </c>
      <c r="C1008" s="19">
        <f t="shared" si="45"/>
        <v>2026</v>
      </c>
      <c r="D1008" s="19" t="str">
        <f t="shared" si="46"/>
        <v>Oct</v>
      </c>
      <c r="E1008" t="s">
        <v>17</v>
      </c>
      <c r="F1008" t="s">
        <v>51</v>
      </c>
      <c r="G1008" t="s">
        <v>98</v>
      </c>
      <c r="H1008" t="s">
        <v>99</v>
      </c>
      <c r="I1008" t="s">
        <v>68</v>
      </c>
      <c r="J1008" t="s">
        <v>49</v>
      </c>
      <c r="K1008" t="s">
        <v>58</v>
      </c>
      <c r="L1008" s="19">
        <v>1</v>
      </c>
      <c r="M1008" s="20">
        <v>952000</v>
      </c>
      <c r="N1008" s="20">
        <v>783000</v>
      </c>
      <c r="O1008" s="20">
        <f t="shared" si="47"/>
        <v>169000</v>
      </c>
      <c r="P1008" t="s">
        <v>31</v>
      </c>
    </row>
    <row r="1009" spans="1:16">
      <c r="A1009" t="s">
        <v>1089</v>
      </c>
      <c r="B1009" s="18">
        <v>46319</v>
      </c>
      <c r="C1009" s="19">
        <f t="shared" si="45"/>
        <v>2026</v>
      </c>
      <c r="D1009" s="19" t="str">
        <f t="shared" si="46"/>
        <v>Oct</v>
      </c>
      <c r="E1009" t="s">
        <v>26</v>
      </c>
      <c r="F1009" t="s">
        <v>27</v>
      </c>
      <c r="G1009" t="s">
        <v>28</v>
      </c>
      <c r="H1009" t="s">
        <v>39</v>
      </c>
      <c r="I1009" t="s">
        <v>71</v>
      </c>
      <c r="J1009" t="s">
        <v>49</v>
      </c>
      <c r="K1009" t="s">
        <v>58</v>
      </c>
      <c r="L1009" s="19">
        <v>1</v>
      </c>
      <c r="M1009" s="20">
        <v>978000</v>
      </c>
      <c r="N1009" s="20">
        <v>829600</v>
      </c>
      <c r="O1009" s="20">
        <f t="shared" si="47"/>
        <v>148400</v>
      </c>
      <c r="P1009" t="s">
        <v>37</v>
      </c>
    </row>
    <row r="1010" spans="1:16">
      <c r="A1010" t="s">
        <v>1090</v>
      </c>
      <c r="B1010" s="18">
        <v>46319</v>
      </c>
      <c r="C1010" s="19">
        <f t="shared" si="45"/>
        <v>2026</v>
      </c>
      <c r="D1010" s="19" t="str">
        <f t="shared" si="46"/>
        <v>Oct</v>
      </c>
      <c r="E1010" t="s">
        <v>44</v>
      </c>
      <c r="F1010" t="s">
        <v>45</v>
      </c>
      <c r="G1010" t="s">
        <v>46</v>
      </c>
      <c r="H1010" t="s">
        <v>47</v>
      </c>
      <c r="I1010" t="s">
        <v>121</v>
      </c>
      <c r="J1010" t="s">
        <v>57</v>
      </c>
      <c r="K1010" t="s">
        <v>42</v>
      </c>
      <c r="L1010" s="19">
        <v>1</v>
      </c>
      <c r="M1010" s="20">
        <v>1537000</v>
      </c>
      <c r="N1010" s="20">
        <v>1273800</v>
      </c>
      <c r="O1010" s="20">
        <f t="shared" si="47"/>
        <v>263200</v>
      </c>
      <c r="P1010" t="s">
        <v>37</v>
      </c>
    </row>
    <row r="1011" spans="1:16">
      <c r="A1011" t="s">
        <v>1091</v>
      </c>
      <c r="B1011" s="18">
        <v>46319</v>
      </c>
      <c r="C1011" s="19">
        <f t="shared" si="45"/>
        <v>2026</v>
      </c>
      <c r="D1011" s="19" t="str">
        <f t="shared" si="46"/>
        <v>Oct</v>
      </c>
      <c r="E1011" t="s">
        <v>17</v>
      </c>
      <c r="F1011" t="s">
        <v>51</v>
      </c>
      <c r="G1011" t="s">
        <v>52</v>
      </c>
      <c r="H1011" t="s">
        <v>70</v>
      </c>
      <c r="I1011" t="s">
        <v>63</v>
      </c>
      <c r="J1011" t="s">
        <v>41</v>
      </c>
      <c r="K1011" t="s">
        <v>58</v>
      </c>
      <c r="L1011" s="19">
        <v>1</v>
      </c>
      <c r="M1011" s="20">
        <v>1335000</v>
      </c>
      <c r="N1011" s="20">
        <v>1091600</v>
      </c>
      <c r="O1011" s="20">
        <f t="shared" si="47"/>
        <v>243400</v>
      </c>
      <c r="P1011" t="s">
        <v>24</v>
      </c>
    </row>
  </sheetData>
  <autoFilter xmlns:etc="http://www.wps.cn/officeDocument/2017/etCustomData" ref="A1:P1011" etc:filterBottomFollowUsedRange="0">
    <extLst/>
  </autoFilter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workbookViewId="0">
      <selection activeCell="A1" sqref="A1"/>
    </sheetView>
  </sheetViews>
  <sheetFormatPr defaultColWidth="9" defaultRowHeight="15" outlineLevelCol="5"/>
  <cols>
    <col min="1" max="1" width="24.7142857142857" customWidth="1"/>
    <col min="2" max="3" width="13.7142857142857" customWidth="1"/>
    <col min="4" max="4" width="20.7142857142857" customWidth="1"/>
    <col min="5" max="6" width="18.7142857142857" customWidth="1"/>
  </cols>
  <sheetData>
    <row r="1" spans="1:6">
      <c r="A1" s="11" t="s">
        <v>1092</v>
      </c>
      <c r="B1" s="11" t="str">
        <f>IF(Dashboard!$V$6="All","*",Dashboard!$V$6)</f>
        <v>*</v>
      </c>
      <c r="D1" s="11" t="s">
        <v>1093</v>
      </c>
      <c r="E1" s="12">
        <f>SUMIFS(Data!$M$2:$M$5000,Data!$D$2:$D$5000,$B$1,Data!$E$2:$E$5000,$B$2)/10^7</f>
        <v>162.3258</v>
      </c>
    </row>
    <row r="2" spans="1:6">
      <c r="A2" s="11" t="s">
        <v>1094</v>
      </c>
      <c r="B2" s="11" t="str">
        <f>IF(Dashboard!$V$21="All","*",Dashboard!$V$21)</f>
        <v>*</v>
      </c>
      <c r="D2" s="11" t="s">
        <v>1095</v>
      </c>
      <c r="E2" s="12">
        <f>SUMIFS(Data!$O$2:$O$5000,Data!$D$2:$D$5000,$B$1,Data!$E$2:$E$5000,$B$2)/10^7</f>
        <v>26.05413</v>
      </c>
    </row>
    <row r="3" spans="1:6">
      <c r="A3" s="10" t="s">
        <v>1096</v>
      </c>
      <c r="D3" s="11" t="s">
        <v>1097</v>
      </c>
      <c r="E3" s="12">
        <f>SUMIFS(Data!$N$2:$N$5000,Data!$D$2:$D$5000,$B$1,Data!$E$2:$E$5000,$B$2)/10^7</f>
        <v>136.27167</v>
      </c>
    </row>
    <row r="4" spans="1:6">
      <c r="D4" s="11" t="s">
        <v>1098</v>
      </c>
      <c r="E4" s="13">
        <f>COUNTIFS(Data!$D$2:$D$5000,$B$1,Data!$E$2:$E$5000,$B$2)</f>
        <v>1010</v>
      </c>
    </row>
    <row r="6" ht="15.75" spans="1:6">
      <c r="A6" s="14" t="s">
        <v>1099</v>
      </c>
      <c r="E6" s="14" t="s">
        <v>1100</v>
      </c>
    </row>
    <row r="7" spans="1:6">
      <c r="A7" s="15" t="s">
        <v>4</v>
      </c>
      <c r="B7" s="15">
        <v>2025</v>
      </c>
      <c r="C7" s="15">
        <v>2026</v>
      </c>
      <c r="E7" s="15" t="s">
        <v>4</v>
      </c>
      <c r="F7" s="15" t="s">
        <v>1101</v>
      </c>
    </row>
    <row r="8" spans="1:6">
      <c r="A8" s="11" t="s">
        <v>33</v>
      </c>
      <c r="B8" s="12">
        <f>SUMIFS(Data!$M$2:$M$5000,Data!$D$2:$D$5000,$B$1,Data!$E$2:$E$5000,$B$2,Data!$E$2:$E$5000,$A8,Data!$C$2:$C$5000,B$7)/10^7</f>
        <v>16.2592</v>
      </c>
      <c r="C8" s="12">
        <f>SUMIFS(Data!$M$2:$M$5000,Data!$D$2:$D$5000,$B$1,Data!$E$2:$E$5000,$B$2,Data!$E$2:$E$5000,$A8,Data!$C$2:$C$5000,C$7)/10^7</f>
        <v>21.1287</v>
      </c>
      <c r="E8" s="11" t="s">
        <v>33</v>
      </c>
      <c r="F8" s="13">
        <f>COUNTIFS(Data!$D$2:$D$5000,$B$1,Data!$E$2:$E$5000,$B$2,Data!$E$2:$E$5000,$E8)</f>
        <v>222</v>
      </c>
    </row>
    <row r="9" spans="1:6">
      <c r="A9" s="11" t="s">
        <v>26</v>
      </c>
      <c r="B9" s="12">
        <f>SUMIFS(Data!$M$2:$M$5000,Data!$D$2:$D$5000,$B$1,Data!$E$2:$E$5000,$B$2,Data!$E$2:$E$5000,$A9,Data!$C$2:$C$5000,B$7)/10^7</f>
        <v>17.5985</v>
      </c>
      <c r="C9" s="12">
        <f>SUMIFS(Data!$M$2:$M$5000,Data!$D$2:$D$5000,$B$1,Data!$E$2:$E$5000,$B$2,Data!$E$2:$E$5000,$A9,Data!$C$2:$C$5000,C$7)/10^7</f>
        <v>25.5386</v>
      </c>
      <c r="E9" s="11" t="s">
        <v>26</v>
      </c>
      <c r="F9" s="13">
        <f>COUNTIFS(Data!$D$2:$D$5000,$B$1,Data!$E$2:$E$5000,$B$2,Data!$E$2:$E$5000,$E9)</f>
        <v>276</v>
      </c>
    </row>
    <row r="10" spans="1:6">
      <c r="A10" s="11" t="s">
        <v>44</v>
      </c>
      <c r="B10" s="12">
        <f>SUMIFS(Data!$M$2:$M$5000,Data!$D$2:$D$5000,$B$1,Data!$E$2:$E$5000,$B$2,Data!$E$2:$E$5000,$A10,Data!$C$2:$C$5000,B$7)/10^7</f>
        <v>3.0698</v>
      </c>
      <c r="C10" s="12">
        <f>SUMIFS(Data!$M$2:$M$5000,Data!$D$2:$D$5000,$B$1,Data!$E$2:$E$5000,$B$2,Data!$E$2:$E$5000,$A10,Data!$C$2:$C$5000,C$7)/10^7</f>
        <v>7.6811</v>
      </c>
      <c r="E10" s="11" t="s">
        <v>44</v>
      </c>
      <c r="F10" s="13">
        <f>COUNTIFS(Data!$D$2:$D$5000,$B$1,Data!$E$2:$E$5000,$B$2,Data!$E$2:$E$5000,$E10)</f>
        <v>70</v>
      </c>
    </row>
    <row r="11" spans="1:6">
      <c r="A11" s="11" t="s">
        <v>17</v>
      </c>
      <c r="B11" s="12">
        <f>SUMIFS(Data!$M$2:$M$5000,Data!$D$2:$D$5000,$B$1,Data!$E$2:$E$5000,$B$2,Data!$E$2:$E$5000,$A11,Data!$C$2:$C$5000,B$7)/10^7</f>
        <v>34.2377</v>
      </c>
      <c r="C11" s="12">
        <f>SUMIFS(Data!$M$2:$M$5000,Data!$D$2:$D$5000,$B$1,Data!$E$2:$E$5000,$B$2,Data!$E$2:$E$5000,$A11,Data!$C$2:$C$5000,C$7)/10^7</f>
        <v>36.8122</v>
      </c>
      <c r="E11" s="11" t="s">
        <v>17</v>
      </c>
      <c r="F11" s="13">
        <f>COUNTIFS(Data!$D$2:$D$5000,$B$1,Data!$E$2:$E$5000,$B$2,Data!$E$2:$E$5000,$E11)</f>
        <v>442</v>
      </c>
    </row>
    <row r="14" ht="15.75" spans="1:6">
      <c r="A14" s="14" t="s">
        <v>1102</v>
      </c>
    </row>
    <row r="15" spans="1:6">
      <c r="A15" s="15" t="s">
        <v>9</v>
      </c>
      <c r="B15" s="15">
        <v>2025</v>
      </c>
      <c r="C15" s="15">
        <v>2026</v>
      </c>
    </row>
    <row r="16" spans="1:6">
      <c r="A16" s="11" t="s">
        <v>49</v>
      </c>
      <c r="B16" s="12">
        <f>SUMIFS(Data!$M$2:$M$5000,Data!$D$2:$D$5000,$B$1,Data!$E$2:$E$5000,$B$2,Data!$J$2:$J$5000,$A16,Data!$C$2:$C$5000,B$15)/10^7</f>
        <v>20.3117</v>
      </c>
      <c r="C16" s="12">
        <f>SUMIFS(Data!$M$2:$M$5000,Data!$D$2:$D$5000,$B$1,Data!$E$2:$E$5000,$B$2,Data!$J$2:$J$5000,$A16,Data!$C$2:$C$5000,C$15)/10^7</f>
        <v>20.9891</v>
      </c>
    </row>
    <row r="17" spans="1:6">
      <c r="A17" s="11" t="s">
        <v>41</v>
      </c>
      <c r="B17" s="12">
        <f>SUMIFS(Data!$M$2:$M$5000,Data!$D$2:$D$5000,$B$1,Data!$E$2:$E$5000,$B$2,Data!$J$2:$J$5000,$A17,Data!$C$2:$C$5000,B$15)/10^7</f>
        <v>16.2303</v>
      </c>
      <c r="C17" s="12">
        <f>SUMIFS(Data!$M$2:$M$5000,Data!$D$2:$D$5000,$B$1,Data!$E$2:$E$5000,$B$2,Data!$J$2:$J$5000,$A17,Data!$C$2:$C$5000,C$15)/10^7</f>
        <v>20.929</v>
      </c>
    </row>
    <row r="18" spans="1:6">
      <c r="A18" s="11" t="s">
        <v>57</v>
      </c>
      <c r="B18" s="12">
        <f>SUMIFS(Data!$M$2:$M$5000,Data!$D$2:$D$5000,$B$1,Data!$E$2:$E$5000,$B$2,Data!$J$2:$J$5000,$A18,Data!$C$2:$C$5000,B$15)/10^7</f>
        <v>15.4114</v>
      </c>
      <c r="C18" s="12">
        <f>SUMIFS(Data!$M$2:$M$5000,Data!$D$2:$D$5000,$B$1,Data!$E$2:$E$5000,$B$2,Data!$J$2:$J$5000,$A18,Data!$C$2:$C$5000,C$15)/10^7</f>
        <v>19.1575</v>
      </c>
    </row>
    <row r="19" spans="1:6">
      <c r="A19" s="11" t="s">
        <v>22</v>
      </c>
      <c r="B19" s="12">
        <f>SUMIFS(Data!$M$2:$M$5000,Data!$D$2:$D$5000,$B$1,Data!$E$2:$E$5000,$B$2,Data!$J$2:$J$5000,$A19,Data!$C$2:$C$5000,B$15)/10^7</f>
        <v>19.2118</v>
      </c>
      <c r="C19" s="12">
        <f>SUMIFS(Data!$M$2:$M$5000,Data!$D$2:$D$5000,$B$1,Data!$E$2:$E$5000,$B$2,Data!$J$2:$J$5000,$A19,Data!$C$2:$C$5000,C$15)/10^7</f>
        <v>30.085</v>
      </c>
    </row>
    <row r="22" ht="15.75" spans="1:6">
      <c r="A22" s="14" t="s">
        <v>1103</v>
      </c>
      <c r="D22" s="14" t="s">
        <v>1104</v>
      </c>
    </row>
    <row r="23" spans="1:6">
      <c r="A23" s="15" t="s">
        <v>8</v>
      </c>
      <c r="B23" s="15" t="s">
        <v>1105</v>
      </c>
      <c r="D23" s="15" t="s">
        <v>1106</v>
      </c>
      <c r="E23" s="15" t="s">
        <v>8</v>
      </c>
      <c r="F23" s="15" t="s">
        <v>1107</v>
      </c>
    </row>
    <row r="24" spans="1:6">
      <c r="A24" s="11" t="s">
        <v>68</v>
      </c>
      <c r="B24" s="12">
        <f>SUMIFS(Data!$M$2:$M$5000,Data!$D$2:$D$5000,$B$1,Data!$E$2:$E$5000,$B$2,Data!$I$2:$I$5000,$A24)/10^7</f>
        <v>15.9547</v>
      </c>
      <c r="D24" s="16">
        <v>1</v>
      </c>
      <c r="E24" s="11" t="str">
        <f>INDEX($A$24:$A$35,MATCH(F24,$B$24:$B$35,0))</f>
        <v>Seltos HTX</v>
      </c>
      <c r="F24" s="12">
        <f>LARGE($B$24:$B$35,$D24)</f>
        <v>19.0557</v>
      </c>
    </row>
    <row r="25" spans="1:6">
      <c r="A25" s="11" t="s">
        <v>48</v>
      </c>
      <c r="B25" s="12">
        <f>SUMIFS(Data!$M$2:$M$5000,Data!$D$2:$D$5000,$B$1,Data!$E$2:$E$5000,$B$2,Data!$I$2:$I$5000,$A25)/10^7</f>
        <v>12.1236</v>
      </c>
      <c r="D25" s="16">
        <v>2</v>
      </c>
      <c r="E25" s="11" t="str">
        <f>INDEX($A$24:$A$35,MATCH(F25,$B$24:$B$35,0))</f>
        <v>Seltos GTX</v>
      </c>
      <c r="F25" s="12">
        <f>LARGE($B$24:$B$35,$D25)</f>
        <v>18.1036</v>
      </c>
    </row>
    <row r="26" spans="1:6">
      <c r="A26" s="11" t="s">
        <v>71</v>
      </c>
      <c r="B26" s="12">
        <f>SUMIFS(Data!$M$2:$M$5000,Data!$D$2:$D$5000,$B$1,Data!$E$2:$E$5000,$B$2,Data!$I$2:$I$5000,$A26)/10^7</f>
        <v>13.2225</v>
      </c>
      <c r="D26" s="16">
        <v>3</v>
      </c>
      <c r="E26" s="11" t="str">
        <f>INDEX($A$24:$A$35,MATCH(F26,$B$24:$B$35,0))</f>
        <v>Carens Clavis</v>
      </c>
      <c r="F26" s="12">
        <f>LARGE($B$24:$B$35,$D26)</f>
        <v>17.2979</v>
      </c>
    </row>
    <row r="27" spans="1:6">
      <c r="A27" s="11" t="s">
        <v>63</v>
      </c>
      <c r="B27" s="12">
        <f>SUMIFS(Data!$M$2:$M$5000,Data!$D$2:$D$5000,$B$1,Data!$E$2:$E$5000,$B$2,Data!$I$2:$I$5000,$A27)/10^7</f>
        <v>19.0557</v>
      </c>
      <c r="D27" s="16">
        <v>4</v>
      </c>
      <c r="E27" s="11" t="str">
        <f>INDEX($A$24:$A$35,MATCH(F27,$B$24:$B$35,0))</f>
        <v>Carens Luxury</v>
      </c>
      <c r="F27" s="12">
        <f>LARGE($B$24:$B$35,$D27)</f>
        <v>17.271</v>
      </c>
    </row>
    <row r="28" spans="1:6">
      <c r="A28" s="11" t="s">
        <v>40</v>
      </c>
      <c r="B28" s="12">
        <f>SUMIFS(Data!$M$2:$M$5000,Data!$D$2:$D$5000,$B$1,Data!$E$2:$E$5000,$B$2,Data!$I$2:$I$5000,$A28)/10^7</f>
        <v>18.1036</v>
      </c>
      <c r="D28" s="16">
        <v>5</v>
      </c>
      <c r="E28" s="11" t="str">
        <f>INDEX($A$24:$A$35,MATCH(F28,$B$24:$B$35,0))</f>
        <v>Sonet HTX</v>
      </c>
      <c r="F28" s="12">
        <f>LARGE($B$24:$B$35,$D28)</f>
        <v>15.9547</v>
      </c>
    </row>
    <row r="29" spans="1:6">
      <c r="A29" s="11" t="s">
        <v>121</v>
      </c>
      <c r="B29" s="12">
        <f>SUMIFS(Data!$M$2:$M$5000,Data!$D$2:$D$5000,$B$1,Data!$E$2:$E$5000,$B$2,Data!$I$2:$I$5000,$A29)/10^7</f>
        <v>17.271</v>
      </c>
    </row>
    <row r="30" spans="1:6">
      <c r="A30" s="11" t="s">
        <v>56</v>
      </c>
      <c r="B30" s="12">
        <f>SUMIFS(Data!$M$2:$M$5000,Data!$D$2:$D$5000,$B$1,Data!$E$2:$E$5000,$B$2,Data!$I$2:$I$5000,$A30)/10^7</f>
        <v>17.2979</v>
      </c>
    </row>
    <row r="31" spans="1:6">
      <c r="A31" s="11" t="s">
        <v>171</v>
      </c>
      <c r="B31" s="12">
        <f>SUMIFS(Data!$M$2:$M$5000,Data!$D$2:$D$5000,$B$1,Data!$E$2:$E$5000,$B$2,Data!$I$2:$I$5000,$A31)/10^7</f>
        <v>14.4972</v>
      </c>
    </row>
    <row r="32" spans="1:6">
      <c r="A32" s="11" t="s">
        <v>84</v>
      </c>
      <c r="B32" s="12">
        <f>SUMIFS(Data!$M$2:$M$5000,Data!$D$2:$D$5000,$B$1,Data!$E$2:$E$5000,$B$2,Data!$I$2:$I$5000,$A32)/10^7</f>
        <v>5.8818</v>
      </c>
    </row>
    <row r="33" spans="1:6">
      <c r="A33" s="11" t="s">
        <v>36</v>
      </c>
      <c r="B33" s="12">
        <f>SUMIFS(Data!$M$2:$M$5000,Data!$D$2:$D$5000,$B$1,Data!$E$2:$E$5000,$B$2,Data!$I$2:$I$5000,$A33)/10^7</f>
        <v>9.0488</v>
      </c>
    </row>
    <row r="34" spans="1:6">
      <c r="A34" s="11" t="s">
        <v>21</v>
      </c>
      <c r="B34" s="12">
        <f>SUMIFS(Data!$M$2:$M$5000,Data!$D$2:$D$5000,$B$1,Data!$E$2:$E$5000,$B$2,Data!$I$2:$I$5000,$A34)/10^7</f>
        <v>10.0015</v>
      </c>
    </row>
    <row r="35" spans="1:6">
      <c r="A35" s="11" t="s">
        <v>30</v>
      </c>
      <c r="B35" s="12">
        <f>SUMIFS(Data!$M$2:$M$5000,Data!$D$2:$D$5000,$B$1,Data!$E$2:$E$5000,$B$2,Data!$I$2:$I$5000,$A35)/10^7</f>
        <v>9.8675</v>
      </c>
    </row>
    <row r="38" ht="15.75" spans="1:6">
      <c r="A38" s="14" t="s">
        <v>1108</v>
      </c>
      <c r="E38" s="10" t="s">
        <v>1109</v>
      </c>
    </row>
    <row r="39" spans="1:6">
      <c r="A39" s="15" t="s">
        <v>3</v>
      </c>
      <c r="B39" s="15">
        <v>2025</v>
      </c>
      <c r="C39" s="15">
        <v>2026</v>
      </c>
      <c r="E39" s="15">
        <v>2025</v>
      </c>
      <c r="F39" s="15">
        <v>2026</v>
      </c>
    </row>
    <row r="40" spans="1:6">
      <c r="A40" s="11" t="s">
        <v>1110</v>
      </c>
      <c r="B40" s="12">
        <f t="shared" ref="B40:B51" si="0">IF(E40=0,NA(),E40)</f>
        <v>5.9588</v>
      </c>
      <c r="C40" s="12">
        <f t="shared" ref="C40:C51" si="1">IF(F40=0,NA(),F40)</f>
        <v>5.898</v>
      </c>
      <c r="E40" s="12">
        <f>SUMIFS(Data!$M$2:$M$5000,Data!$D$2:$D$5000,$B$1,Data!$E$2:$E$5000,$B$2,Data!$D$2:$D$5000,$A40,Data!$C$2:$C$5000,E$39)/10^7</f>
        <v>5.9588</v>
      </c>
      <c r="F40" s="12">
        <f>SUMIFS(Data!$M$2:$M$5000,Data!$D$2:$D$5000,$B$1,Data!$E$2:$E$5000,$B$2,Data!$D$2:$D$5000,$A40,Data!$C$2:$C$5000,F$39)/10^7</f>
        <v>5.898</v>
      </c>
    </row>
    <row r="41" spans="1:6">
      <c r="A41" s="11" t="s">
        <v>1111</v>
      </c>
      <c r="B41" s="12">
        <f t="shared" si="0"/>
        <v>3.0921</v>
      </c>
      <c r="C41" s="12">
        <f t="shared" si="1"/>
        <v>9.6693</v>
      </c>
      <c r="E41" s="12">
        <f>SUMIFS(Data!$M$2:$M$5000,Data!$D$2:$D$5000,$B$1,Data!$E$2:$E$5000,$B$2,Data!$D$2:$D$5000,$A41,Data!$C$2:$C$5000,E$39)/10^7</f>
        <v>3.0921</v>
      </c>
      <c r="F41" s="12">
        <f>SUMIFS(Data!$M$2:$M$5000,Data!$D$2:$D$5000,$B$1,Data!$E$2:$E$5000,$B$2,Data!$D$2:$D$5000,$A41,Data!$C$2:$C$5000,F$39)/10^7</f>
        <v>9.6693</v>
      </c>
    </row>
    <row r="42" spans="1:6">
      <c r="A42" s="11" t="s">
        <v>1112</v>
      </c>
      <c r="B42" s="12">
        <f t="shared" si="0"/>
        <v>4.5562</v>
      </c>
      <c r="C42" s="12">
        <f t="shared" si="1"/>
        <v>13.079</v>
      </c>
      <c r="E42" s="12">
        <f>SUMIFS(Data!$M$2:$M$5000,Data!$D$2:$D$5000,$B$1,Data!$E$2:$E$5000,$B$2,Data!$D$2:$D$5000,$A42,Data!$C$2:$C$5000,E$39)/10^7</f>
        <v>4.5562</v>
      </c>
      <c r="F42" s="12">
        <f>SUMIFS(Data!$M$2:$M$5000,Data!$D$2:$D$5000,$B$1,Data!$E$2:$E$5000,$B$2,Data!$D$2:$D$5000,$A42,Data!$C$2:$C$5000,F$39)/10^7</f>
        <v>13.079</v>
      </c>
    </row>
    <row r="43" spans="1:6">
      <c r="A43" s="11" t="s">
        <v>1113</v>
      </c>
      <c r="B43" s="12">
        <f t="shared" si="0"/>
        <v>6.7757</v>
      </c>
      <c r="C43" s="12">
        <f t="shared" si="1"/>
        <v>8.1507</v>
      </c>
      <c r="E43" s="12">
        <f>SUMIFS(Data!$M$2:$M$5000,Data!$D$2:$D$5000,$B$1,Data!$E$2:$E$5000,$B$2,Data!$D$2:$D$5000,$A43,Data!$C$2:$C$5000,E$39)/10^7</f>
        <v>6.7757</v>
      </c>
      <c r="F43" s="12">
        <f>SUMIFS(Data!$M$2:$M$5000,Data!$D$2:$D$5000,$B$1,Data!$E$2:$E$5000,$B$2,Data!$D$2:$D$5000,$A43,Data!$C$2:$C$5000,F$39)/10^7</f>
        <v>8.1507</v>
      </c>
    </row>
    <row r="44" spans="1:6">
      <c r="A44" s="11" t="s">
        <v>1114</v>
      </c>
      <c r="B44" s="12">
        <f t="shared" si="0"/>
        <v>6.3504</v>
      </c>
      <c r="C44" s="12">
        <f t="shared" si="1"/>
        <v>5.522</v>
      </c>
      <c r="E44" s="12">
        <f>SUMIFS(Data!$M$2:$M$5000,Data!$D$2:$D$5000,$B$1,Data!$E$2:$E$5000,$B$2,Data!$D$2:$D$5000,$A44,Data!$C$2:$C$5000,E$39)/10^7</f>
        <v>6.3504</v>
      </c>
      <c r="F44" s="12">
        <f>SUMIFS(Data!$M$2:$M$5000,Data!$D$2:$D$5000,$B$1,Data!$E$2:$E$5000,$B$2,Data!$D$2:$D$5000,$A44,Data!$C$2:$C$5000,F$39)/10^7</f>
        <v>5.522</v>
      </c>
    </row>
    <row r="45" spans="1:6">
      <c r="A45" s="11" t="s">
        <v>1115</v>
      </c>
      <c r="B45" s="12">
        <f t="shared" si="0"/>
        <v>3.8131</v>
      </c>
      <c r="C45" s="12">
        <f t="shared" si="1"/>
        <v>8.8917</v>
      </c>
      <c r="E45" s="12">
        <f>SUMIFS(Data!$M$2:$M$5000,Data!$D$2:$D$5000,$B$1,Data!$E$2:$E$5000,$B$2,Data!$D$2:$D$5000,$A45,Data!$C$2:$C$5000,E$39)/10^7</f>
        <v>3.8131</v>
      </c>
      <c r="F45" s="12">
        <f>SUMIFS(Data!$M$2:$M$5000,Data!$D$2:$D$5000,$B$1,Data!$E$2:$E$5000,$B$2,Data!$D$2:$D$5000,$A45,Data!$C$2:$C$5000,F$39)/10^7</f>
        <v>8.8917</v>
      </c>
    </row>
    <row r="46" spans="1:6">
      <c r="A46" s="11" t="s">
        <v>1116</v>
      </c>
      <c r="B46" s="12">
        <f t="shared" si="0"/>
        <v>5.2811</v>
      </c>
      <c r="C46" s="12">
        <f t="shared" si="1"/>
        <v>10.4754</v>
      </c>
      <c r="E46" s="12">
        <f>SUMIFS(Data!$M$2:$M$5000,Data!$D$2:$D$5000,$B$1,Data!$E$2:$E$5000,$B$2,Data!$D$2:$D$5000,$A46,Data!$C$2:$C$5000,E$39)/10^7</f>
        <v>5.2811</v>
      </c>
      <c r="F46" s="12">
        <f>SUMIFS(Data!$M$2:$M$5000,Data!$D$2:$D$5000,$B$1,Data!$E$2:$E$5000,$B$2,Data!$D$2:$D$5000,$A46,Data!$C$2:$C$5000,F$39)/10^7</f>
        <v>10.4754</v>
      </c>
    </row>
    <row r="47" spans="1:6">
      <c r="A47" s="11" t="s">
        <v>1117</v>
      </c>
      <c r="B47" s="12">
        <f t="shared" si="0"/>
        <v>4.3944</v>
      </c>
      <c r="C47" s="12">
        <f t="shared" si="1"/>
        <v>11.1731</v>
      </c>
      <c r="E47" s="12">
        <f>SUMIFS(Data!$M$2:$M$5000,Data!$D$2:$D$5000,$B$1,Data!$E$2:$E$5000,$B$2,Data!$D$2:$D$5000,$A47,Data!$C$2:$C$5000,E$39)/10^7</f>
        <v>4.3944</v>
      </c>
      <c r="F47" s="12">
        <f>SUMIFS(Data!$M$2:$M$5000,Data!$D$2:$D$5000,$B$1,Data!$E$2:$E$5000,$B$2,Data!$D$2:$D$5000,$A47,Data!$C$2:$C$5000,F$39)/10^7</f>
        <v>11.1731</v>
      </c>
    </row>
    <row r="48" spans="1:6">
      <c r="A48" s="11" t="s">
        <v>1118</v>
      </c>
      <c r="B48" s="12">
        <f t="shared" si="0"/>
        <v>7.1542</v>
      </c>
      <c r="C48" s="12">
        <f t="shared" si="1"/>
        <v>9.2041</v>
      </c>
      <c r="E48" s="12">
        <f>SUMIFS(Data!$M$2:$M$5000,Data!$D$2:$D$5000,$B$1,Data!$E$2:$E$5000,$B$2,Data!$D$2:$D$5000,$A48,Data!$C$2:$C$5000,E$39)/10^7</f>
        <v>7.1542</v>
      </c>
      <c r="F48" s="12">
        <f>SUMIFS(Data!$M$2:$M$5000,Data!$D$2:$D$5000,$B$1,Data!$E$2:$E$5000,$B$2,Data!$D$2:$D$5000,$A48,Data!$C$2:$C$5000,F$39)/10^7</f>
        <v>9.2041</v>
      </c>
    </row>
    <row r="49" spans="1:6">
      <c r="A49" s="11" t="s">
        <v>1119</v>
      </c>
      <c r="B49" s="12">
        <f t="shared" si="0"/>
        <v>9.4066</v>
      </c>
      <c r="C49" s="12">
        <f t="shared" si="1"/>
        <v>9.0973</v>
      </c>
      <c r="E49" s="12">
        <f>SUMIFS(Data!$M$2:$M$5000,Data!$D$2:$D$5000,$B$1,Data!$E$2:$E$5000,$B$2,Data!$D$2:$D$5000,$A49,Data!$C$2:$C$5000,E$39)/10^7</f>
        <v>9.4066</v>
      </c>
      <c r="F49" s="12">
        <f>SUMIFS(Data!$M$2:$M$5000,Data!$D$2:$D$5000,$B$1,Data!$E$2:$E$5000,$B$2,Data!$D$2:$D$5000,$A49,Data!$C$2:$C$5000,F$39)/10^7</f>
        <v>9.0973</v>
      </c>
    </row>
    <row r="50" spans="1:6">
      <c r="A50" s="11" t="s">
        <v>1120</v>
      </c>
      <c r="B50" s="12">
        <f t="shared" si="0"/>
        <v>6.8589</v>
      </c>
      <c r="C50" s="12" t="e">
        <f t="shared" si="1"/>
        <v>#N/A</v>
      </c>
      <c r="E50" s="12">
        <f>SUMIFS(Data!$M$2:$M$5000,Data!$D$2:$D$5000,$B$1,Data!$E$2:$E$5000,$B$2,Data!$D$2:$D$5000,$A50,Data!$C$2:$C$5000,E$39)/10^7</f>
        <v>6.8589</v>
      </c>
      <c r="F50" s="12">
        <f>SUMIFS(Data!$M$2:$M$5000,Data!$D$2:$D$5000,$B$1,Data!$E$2:$E$5000,$B$2,Data!$D$2:$D$5000,$A50,Data!$C$2:$C$5000,F$39)/10^7</f>
        <v>0</v>
      </c>
    </row>
    <row r="51" spans="1:6">
      <c r="A51" s="11" t="s">
        <v>1121</v>
      </c>
      <c r="B51" s="12">
        <f t="shared" si="0"/>
        <v>7.5237</v>
      </c>
      <c r="C51" s="12" t="e">
        <f t="shared" si="1"/>
        <v>#N/A</v>
      </c>
      <c r="E51" s="12">
        <f>SUMIFS(Data!$M$2:$M$5000,Data!$D$2:$D$5000,$B$1,Data!$E$2:$E$5000,$B$2,Data!$D$2:$D$5000,$A51,Data!$C$2:$C$5000,E$39)/10^7</f>
        <v>7.5237</v>
      </c>
      <c r="F51" s="12">
        <f>SUMIFS(Data!$M$2:$M$5000,Data!$D$2:$D$5000,$B$1,Data!$E$2:$E$5000,$B$2,Data!$D$2:$D$5000,$A51,Data!$C$2:$C$5000,F$39)/10^7</f>
        <v>0</v>
      </c>
    </row>
    <row r="52" spans="1:6">
      <c r="A52" s="10" t="s">
        <v>1122</v>
      </c>
    </row>
    <row r="54" ht="15.75" spans="1:6">
      <c r="A54" s="14" t="s">
        <v>1123</v>
      </c>
    </row>
    <row r="55" spans="1:6">
      <c r="A55" s="15" t="s">
        <v>5</v>
      </c>
      <c r="B55" s="15">
        <v>2025</v>
      </c>
      <c r="C55" s="15">
        <v>2026</v>
      </c>
    </row>
    <row r="56" spans="1:6">
      <c r="A56" s="11" t="s">
        <v>118</v>
      </c>
      <c r="B56" s="12">
        <f>SUMIFS(Data!$M$2:$M$5000,Data!$D$2:$D$5000,$B$1,Data!$E$2:$E$5000,$B$2,Data!$F$2:$F$5000,$A56,Data!$C$2:$C$5000,B$55)/10^7</f>
        <v>1.3223</v>
      </c>
      <c r="C56" s="12">
        <f>SUMIFS(Data!$M$2:$M$5000,Data!$D$2:$D$5000,$B$1,Data!$E$2:$E$5000,$B$2,Data!$F$2:$F$5000,$A56,Data!$C$2:$C$5000,C$55)/10^7</f>
        <v>1.8774</v>
      </c>
    </row>
    <row r="57" spans="1:6">
      <c r="A57" s="11" t="s">
        <v>92</v>
      </c>
      <c r="B57" s="12">
        <f>SUMIFS(Data!$M$2:$M$5000,Data!$D$2:$D$5000,$B$1,Data!$E$2:$E$5000,$B$2,Data!$F$2:$F$5000,$A57,Data!$C$2:$C$5000,B$55)/10^7</f>
        <v>1.9824</v>
      </c>
      <c r="C57" s="12">
        <f>SUMIFS(Data!$M$2:$M$5000,Data!$D$2:$D$5000,$B$1,Data!$E$2:$E$5000,$B$2,Data!$F$2:$F$5000,$A57,Data!$C$2:$C$5000,C$55)/10^7</f>
        <v>5.1816</v>
      </c>
    </row>
    <row r="58" spans="1:6">
      <c r="A58" s="11" t="s">
        <v>45</v>
      </c>
      <c r="B58" s="12">
        <f>SUMIFS(Data!$M$2:$M$5000,Data!$D$2:$D$5000,$B$1,Data!$E$2:$E$5000,$B$2,Data!$F$2:$F$5000,$A58,Data!$C$2:$C$5000,B$55)/10^7</f>
        <v>1.7475</v>
      </c>
      <c r="C58" s="12">
        <f>SUMIFS(Data!$M$2:$M$5000,Data!$D$2:$D$5000,$B$1,Data!$E$2:$E$5000,$B$2,Data!$F$2:$F$5000,$A58,Data!$C$2:$C$5000,C$55)/10^7</f>
        <v>5.8037</v>
      </c>
    </row>
    <row r="59" spans="1:6">
      <c r="A59" s="11" t="s">
        <v>81</v>
      </c>
      <c r="B59" s="12">
        <f>SUMIFS(Data!$M$2:$M$5000,Data!$D$2:$D$5000,$B$1,Data!$E$2:$E$5000,$B$2,Data!$F$2:$F$5000,$A59,Data!$C$2:$C$5000,B$55)/10^7</f>
        <v>4.0174</v>
      </c>
      <c r="C59" s="12">
        <f>SUMIFS(Data!$M$2:$M$5000,Data!$D$2:$D$5000,$B$1,Data!$E$2:$E$5000,$B$2,Data!$F$2:$F$5000,$A59,Data!$C$2:$C$5000,C$55)/10^7</f>
        <v>4.5063</v>
      </c>
    </row>
    <row r="60" spans="1:6">
      <c r="A60" s="11" t="s">
        <v>131</v>
      </c>
      <c r="B60" s="12">
        <f>SUMIFS(Data!$M$2:$M$5000,Data!$D$2:$D$5000,$B$1,Data!$E$2:$E$5000,$B$2,Data!$F$2:$F$5000,$A60,Data!$C$2:$C$5000,B$55)/10^7</f>
        <v>3.5606</v>
      </c>
      <c r="C60" s="12">
        <f>SUMIFS(Data!$M$2:$M$5000,Data!$D$2:$D$5000,$B$1,Data!$E$2:$E$5000,$B$2,Data!$F$2:$F$5000,$A60,Data!$C$2:$C$5000,C$55)/10^7</f>
        <v>6.1602</v>
      </c>
    </row>
    <row r="61" spans="1:6">
      <c r="A61" s="11" t="s">
        <v>65</v>
      </c>
      <c r="B61" s="12">
        <f>SUMIFS(Data!$M$2:$M$5000,Data!$D$2:$D$5000,$B$1,Data!$E$2:$E$5000,$B$2,Data!$F$2:$F$5000,$A61,Data!$C$2:$C$5000,B$55)/10^7</f>
        <v>4.295</v>
      </c>
      <c r="C61" s="12">
        <f>SUMIFS(Data!$M$2:$M$5000,Data!$D$2:$D$5000,$B$1,Data!$E$2:$E$5000,$B$2,Data!$F$2:$F$5000,$A61,Data!$C$2:$C$5000,C$55)/10^7</f>
        <v>6.0842</v>
      </c>
    </row>
    <row r="62" spans="1:6">
      <c r="A62" s="11" t="s">
        <v>34</v>
      </c>
      <c r="B62" s="12">
        <f>SUMIFS(Data!$M$2:$M$5000,Data!$D$2:$D$5000,$B$1,Data!$E$2:$E$5000,$B$2,Data!$F$2:$F$5000,$A62,Data!$C$2:$C$5000,B$55)/10^7</f>
        <v>10.2594</v>
      </c>
      <c r="C62" s="12">
        <f>SUMIFS(Data!$M$2:$M$5000,Data!$D$2:$D$5000,$B$1,Data!$E$2:$E$5000,$B$2,Data!$F$2:$F$5000,$A62,Data!$C$2:$C$5000,C$55)/10^7</f>
        <v>11.4408</v>
      </c>
    </row>
    <row r="63" spans="1:6">
      <c r="A63" s="11" t="s">
        <v>27</v>
      </c>
      <c r="B63" s="12">
        <f>SUMIFS(Data!$M$2:$M$5000,Data!$D$2:$D$5000,$B$1,Data!$E$2:$E$5000,$B$2,Data!$F$2:$F$5000,$A63,Data!$C$2:$C$5000,B$55)/10^7</f>
        <v>9.7429</v>
      </c>
      <c r="C63" s="12">
        <f>SUMIFS(Data!$M$2:$M$5000,Data!$D$2:$D$5000,$B$1,Data!$E$2:$E$5000,$B$2,Data!$F$2:$F$5000,$A63,Data!$C$2:$C$5000,C$55)/10^7</f>
        <v>13.2942</v>
      </c>
    </row>
    <row r="64" spans="1:6">
      <c r="A64" s="11" t="s">
        <v>51</v>
      </c>
      <c r="B64" s="12">
        <f>SUMIFS(Data!$M$2:$M$5000,Data!$D$2:$D$5000,$B$1,Data!$E$2:$E$5000,$B$2,Data!$F$2:$F$5000,$A64,Data!$C$2:$C$5000,B$55)/10^7</f>
        <v>16.1195</v>
      </c>
      <c r="C64" s="12">
        <f>SUMIFS(Data!$M$2:$M$5000,Data!$D$2:$D$5000,$B$1,Data!$E$2:$E$5000,$B$2,Data!$F$2:$F$5000,$A64,Data!$C$2:$C$5000,C$55)/10^7</f>
        <v>17.4572</v>
      </c>
    </row>
    <row r="65" spans="1:3">
      <c r="A65" s="11" t="s">
        <v>18</v>
      </c>
      <c r="B65" s="12">
        <f>SUMIFS(Data!$M$2:$M$5000,Data!$D$2:$D$5000,$B$1,Data!$E$2:$E$5000,$B$2,Data!$F$2:$F$5000,$A65,Data!$C$2:$C$5000,B$55)/10^7</f>
        <v>18.1182</v>
      </c>
      <c r="C65" s="12">
        <f>SUMIFS(Data!$M$2:$M$5000,Data!$D$2:$D$5000,$B$1,Data!$E$2:$E$5000,$B$2,Data!$F$2:$F$5000,$A65,Data!$C$2:$C$5000,C$55)/10^7</f>
        <v>19.355</v>
      </c>
    </row>
    <row r="67" spans="1:3">
      <c r="A67" s="10" t="s">
        <v>1124</v>
      </c>
    </row>
  </sheetData>
  <conditionalFormatting sqref="B40:C51">
    <cfRule type="expression" dxfId="0" priority="1">
      <formula>ISNA(B40)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B6A8A"/>
    <pageSetUpPr fitToPage="1"/>
  </sheetPr>
  <dimension ref="B1:W33"/>
  <sheetViews>
    <sheetView showGridLines="0" tabSelected="1" zoomScale="85" zoomScaleNormal="85" workbookViewId="0">
      <selection activeCell="D1" sqref="D1:W3"/>
    </sheetView>
  </sheetViews>
  <sheetFormatPr defaultColWidth="9" defaultRowHeight="15"/>
  <cols>
    <col min="1" max="1" width="2.71428571428571" customWidth="1"/>
    <col min="2" max="23" width="8.71428571428571" customWidth="1"/>
  </cols>
  <sheetData>
    <row r="1" ht="22" customHeight="1" spans="2:23">
      <c r="B1" s="1"/>
      <c r="C1" s="1"/>
      <c r="D1" s="2" t="s">
        <v>1125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2" customHeight="1" spans="2:23"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2" customHeight="1" spans="2:23"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5.75"/>
    <row r="5" ht="16.5" spans="2:23">
      <c r="B5" s="3" t="s">
        <v>1126</v>
      </c>
      <c r="C5" s="3"/>
      <c r="V5" s="4" t="s">
        <v>3</v>
      </c>
      <c r="W5" s="4"/>
    </row>
    <row r="6" ht="15.75" spans="2:23">
      <c r="B6" s="3"/>
      <c r="C6" s="3"/>
      <c r="V6" s="5" t="s">
        <v>1127</v>
      </c>
      <c r="W6" s="5"/>
    </row>
    <row r="7" ht="15.75" spans="2:23">
      <c r="B7" s="3"/>
      <c r="C7" s="3"/>
      <c r="V7" s="6" t="s">
        <v>1110</v>
      </c>
      <c r="W7" s="6"/>
    </row>
    <row r="8" ht="15.75" spans="2:23">
      <c r="B8" s="7">
        <f>pivot_table!$E$1</f>
        <v>162.3258</v>
      </c>
      <c r="C8" s="7"/>
      <c r="V8" s="6" t="s">
        <v>1111</v>
      </c>
      <c r="W8" s="6"/>
    </row>
    <row r="9" ht="15.75" spans="2:23">
      <c r="B9" s="7"/>
      <c r="C9" s="7"/>
      <c r="V9" s="6" t="s">
        <v>1112</v>
      </c>
      <c r="W9" s="6"/>
    </row>
    <row r="10" ht="15.75" spans="2:23">
      <c r="B10" s="7"/>
      <c r="C10" s="7"/>
      <c r="V10" s="6" t="s">
        <v>1113</v>
      </c>
      <c r="W10" s="6"/>
    </row>
    <row r="11" ht="15.75" spans="2:23">
      <c r="V11" s="6" t="s">
        <v>1114</v>
      </c>
      <c r="W11" s="6"/>
    </row>
    <row r="12" ht="15.75" spans="2:23">
      <c r="B12" s="3" t="s">
        <v>1128</v>
      </c>
      <c r="C12" s="3"/>
      <c r="V12" s="6" t="s">
        <v>1115</v>
      </c>
      <c r="W12" s="6"/>
    </row>
    <row r="13" ht="15.75" spans="2:23">
      <c r="B13" s="3"/>
      <c r="C13" s="3"/>
      <c r="V13" s="6" t="s">
        <v>1116</v>
      </c>
      <c r="W13" s="6"/>
    </row>
    <row r="14" ht="15.75" spans="2:23">
      <c r="B14" s="3"/>
      <c r="C14" s="3"/>
      <c r="V14" s="6" t="s">
        <v>1117</v>
      </c>
      <c r="W14" s="6"/>
    </row>
    <row r="15" ht="15.75" spans="2:23">
      <c r="B15" s="7">
        <f>pivot_table!$E$2</f>
        <v>26.05413</v>
      </c>
      <c r="C15" s="7"/>
      <c r="V15" s="6" t="s">
        <v>1118</v>
      </c>
      <c r="W15" s="6"/>
    </row>
    <row r="16" ht="15.75" spans="2:23">
      <c r="B16" s="7"/>
      <c r="C16" s="7"/>
      <c r="V16" s="6" t="s">
        <v>1119</v>
      </c>
      <c r="W16" s="6"/>
    </row>
    <row r="17" ht="15.75" spans="2:23">
      <c r="B17" s="7"/>
      <c r="C17" s="7"/>
      <c r="V17" s="6" t="s">
        <v>1120</v>
      </c>
      <c r="W17" s="6"/>
    </row>
    <row r="18" ht="15.75" spans="2:23">
      <c r="V18" s="6" t="s">
        <v>1121</v>
      </c>
      <c r="W18" s="6"/>
    </row>
    <row r="19" ht="15.75" spans="2:23">
      <c r="B19" s="3" t="s">
        <v>1129</v>
      </c>
      <c r="C19" s="3"/>
    </row>
    <row r="20" ht="16.5" spans="2:23">
      <c r="B20" s="3"/>
      <c r="C20" s="3"/>
      <c r="V20" s="4" t="s">
        <v>4</v>
      </c>
      <c r="W20" s="4"/>
    </row>
    <row r="21" ht="15.75" spans="2:23">
      <c r="B21" s="3"/>
      <c r="C21" s="3"/>
      <c r="V21" s="5" t="s">
        <v>1127</v>
      </c>
      <c r="W21" s="5"/>
    </row>
    <row r="22" ht="15.75" spans="2:23">
      <c r="B22" s="7">
        <f>pivot_table!$E$3</f>
        <v>136.27167</v>
      </c>
      <c r="C22" s="7"/>
      <c r="V22" s="6" t="s">
        <v>33</v>
      </c>
      <c r="W22" s="6"/>
    </row>
    <row r="23" ht="15.75" spans="2:23">
      <c r="B23" s="7"/>
      <c r="C23" s="7"/>
      <c r="V23" s="6" t="s">
        <v>26</v>
      </c>
      <c r="W23" s="6"/>
    </row>
    <row r="24" ht="15.75" spans="2:23">
      <c r="B24" s="7"/>
      <c r="C24" s="7"/>
      <c r="V24" s="6" t="s">
        <v>44</v>
      </c>
      <c r="W24" s="6"/>
    </row>
    <row r="25" ht="15.75" spans="2:23">
      <c r="V25" s="6" t="s">
        <v>17</v>
      </c>
      <c r="W25" s="6"/>
    </row>
    <row r="26" ht="15.75" spans="2:23">
      <c r="B26" s="3" t="s">
        <v>1098</v>
      </c>
      <c r="C26" s="3"/>
    </row>
    <row r="27" ht="15.75" spans="2:23">
      <c r="B27" s="3"/>
      <c r="C27" s="3"/>
      <c r="V27" s="8" t="s">
        <v>1130</v>
      </c>
      <c r="W27" s="8"/>
    </row>
    <row r="28" spans="2:23">
      <c r="B28" s="3"/>
      <c r="C28" s="3"/>
      <c r="V28" s="8"/>
      <c r="W28" s="8"/>
    </row>
    <row r="29" ht="15.75" spans="2:23">
      <c r="B29" s="9">
        <f>pivot_table!$E$4</f>
        <v>1010</v>
      </c>
      <c r="C29" s="9"/>
      <c r="V29" s="8"/>
      <c r="W29" s="8"/>
    </row>
    <row r="30" ht="15.75" spans="2:23">
      <c r="B30" s="9"/>
      <c r="C30" s="9"/>
      <c r="V30" s="8"/>
      <c r="W30" s="8"/>
    </row>
    <row r="31" ht="15.75" spans="2:23">
      <c r="B31" s="9"/>
      <c r="C31" s="9"/>
      <c r="V31" s="8"/>
      <c r="W31" s="8"/>
    </row>
    <row r="33" spans="2:23">
      <c r="B33" s="10" t="s">
        <v>1131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32">
    <mergeCell ref="V5:W5"/>
    <mergeCell ref="V6:W6"/>
    <mergeCell ref="V7:W7"/>
    <mergeCell ref="V8:W8"/>
    <mergeCell ref="V9:W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20:W20"/>
    <mergeCell ref="V21:W21"/>
    <mergeCell ref="V22:W22"/>
    <mergeCell ref="V23:W23"/>
    <mergeCell ref="V24:W24"/>
    <mergeCell ref="V25:W25"/>
    <mergeCell ref="B33:W33"/>
    <mergeCell ref="B1:C3"/>
    <mergeCell ref="D1:W3"/>
    <mergeCell ref="B5:C7"/>
    <mergeCell ref="B8:C10"/>
    <mergeCell ref="B12:C14"/>
    <mergeCell ref="B15:C17"/>
    <mergeCell ref="B19:C21"/>
    <mergeCell ref="B22:C24"/>
    <mergeCell ref="B26:C28"/>
    <mergeCell ref="B29:C31"/>
    <mergeCell ref="V27:W31"/>
  </mergeCells>
  <conditionalFormatting sqref="V7:W18">
    <cfRule type="expression" dxfId="1" priority="1">
      <formula>AND($V$6&lt;&gt;"All",$V7&lt;&gt;$V$6)</formula>
    </cfRule>
  </conditionalFormatting>
  <conditionalFormatting sqref="V22:W25">
    <cfRule type="expression" dxfId="1" priority="2">
      <formula>AND($V$21&lt;&gt;"All",$V22&lt;&gt;$V$21)</formula>
    </cfRule>
  </conditionalFormatting>
  <dataValidations count="2">
    <dataValidation type="list" allowBlank="1" showInputMessage="1" showErrorMessage="1" promptTitle="Month" prompt="Pick a month or All" sqref="V6">
      <formula1>"All,Jan,Feb,Mar,Apr,May,Jun,Jul,Aug,Sep,Oct,Nov,Dec"</formula1>
    </dataValidation>
    <dataValidation type="list" allowBlank="1" showInputMessage="1" showErrorMessage="1" promptTitle="Region" prompt="Pick a region or All" sqref="V21">
      <formula1>"All,North,South,East,West"</formula1>
    </dataValidation>
  </dataValidations>
  <pageMargins left="0.7" right="0.7" top="0.75" bottom="0.75" header="0.3" footer="0.3"/>
  <pageSetup paperSize="8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pivot_table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WPS_1774358832</cp:lastModifiedBy>
  <dcterms:created xsi:type="dcterms:W3CDTF">2026-10-24T10:13:00Z</dcterms:created>
  <dcterms:modified xsi:type="dcterms:W3CDTF">2026-10-24T10:44:32Z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C576DB67968643E2A67F920AD58BECF6_12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